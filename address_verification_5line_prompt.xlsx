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ress Verifi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<sst xmlns="http://schemas.openxmlformats.org/spreadsheetml/2006/main" count="361" uniqueCount="167">
  <si>
    <t xml:space="preserve">S.No</t>
  </si>
  <si>
    <t xml:space="preserve">Issuer Name</t>
  </si>
  <si>
    <t xml:space="preserve">Location Name</t>
  </si>
  <si>
    <t xml:space="preserve">Scraped Address</t>
  </si>
  <si>
    <t xml:space="preserve">City</t>
  </si>
  <si>
    <t xml:space="preserve">State</t>
  </si>
  <si>
    <t xml:space="preserve">Country</t>
  </si>
  <si>
    <t xml:space="preserve">Source Link</t>
  </si>
  <si>
    <t xml:space="preserve">Door/Unit No</t>
  </si>
  <si>
    <t xml:space="preserve">Floor</t>
  </si>
  <si>
    <t xml:space="preserve">Building</t>
  </si>
  <si>
    <t xml:space="preserve">Street</t>
  </si>
  <si>
    <t xml:space="preserve">Locality</t>
  </si>
  <si>
    <t xml:space="preserve">Postal Code</t>
  </si>
  <si>
    <t xml:space="preserve">Full Address (Verified)</t>
  </si>
  <si>
    <t xml:space="preserve">Status</t>
  </si>
  <si>
    <t xml:space="preserve">Confidence</t>
  </si>
  <si>
    <t xml:space="preserve">Missing Components</t>
  </si>
  <si>
    <t xml:space="preserve">Notes</t>
  </si>
  <si>
    <t xml:space="preserve">YAKULT HONSHA CO., LTD.</t>
  </si>
  <si>
    <t xml:space="preserve">Calamba Plant (Yakult Philippines, Inc.)</t>
  </si>
  <si>
    <t xml:space="preserve">1 Makiling, Calamba, 4027 Laguna, Philippines</t>
  </si>
  <si>
    <t xml:space="preserve">Calamba</t>
  </si>
  <si>
    <t xml:space="preserve">Laguna</t>
  </si>
  <si>
    <t xml:space="preserve">Philippines</t>
  </si>
  <si>
    <t xml:space="preserve">https://www.yakult.co.jp/english/pdf/sustainability2024_en.pdf</t>
  </si>
  <si>
    <t xml:space="preserve">Not found on source</t>
  </si>
  <si>
    <t xml:space="preserve">N/A</t>
  </si>
  <si>
    <t xml:space="preserve">Door, Floor, Building, Street, Locality, Postal, Full Verified</t>
  </si>
  <si>
    <t xml:space="preserve">Sustainability Report 2024 lists Yakult Philippines, Inc. as one of 28 overseas companies but does not publish the Calamba plant street address.</t>
  </si>
  <si>
    <t xml:space="preserve">Yakult Australia Pty. Ltd. New Zealand Branch</t>
  </si>
  <si>
    <t xml:space="preserve">10 Monterey Rd, Dandenong South VIC 3175, Australia</t>
  </si>
  <si>
    <t xml:space="preserve">Dandenong South</t>
  </si>
  <si>
    <t xml:space="preserve">Victoria</t>
  </si>
  <si>
    <t xml:space="preserve">Australia</t>
  </si>
  <si>
    <t xml:space="preserve">https://www.yakult.co.jp/english/ir/management/pdf/ar2023.pdf</t>
  </si>
  <si>
    <t xml:space="preserve">Source unavailable</t>
  </si>
  <si>
    <t xml:space="preserve">All</t>
  </si>
  <si>
    <t xml:space="preserve">Annual Report 2023 PDF was not retrievable in this run; address could not be confirmed against the cited source.</t>
  </si>
  <si>
    <t xml:space="preserve">Fukushima Factory / Date City</t>
  </si>
  <si>
    <t xml:space="preserve">1 Uenogawada, Funyu, Yanagawa-machi, Date City, Fukushima Prefecture, 960-0701, Japan</t>
  </si>
  <si>
    <t xml:space="preserve">Date City</t>
  </si>
  <si>
    <t xml:space="preserve">Fukushima</t>
  </si>
  <si>
    <t xml:space="preserve">Japan</t>
  </si>
  <si>
    <t xml:space="preserve">https://www.yakult.co.jp/company/about/network/factory/</t>
  </si>
  <si>
    <t xml:space="preserve">Factory page lists 7 Yakult Honsha plants and 6 bottling-company plants; none are in Date City / Yanagawa-machi. Likely a different entity not on this source.</t>
  </si>
  <si>
    <t xml:space="preserve">Yakult Sales in Eastern Kanagawa (KK)</t>
  </si>
  <si>
    <t xml:space="preserve">10-10, No. 10, Kawasaki Ward, Kawasaki City, Kanagawa Prefecture</t>
  </si>
  <si>
    <t xml:space="preserve">Kawasaki City</t>
  </si>
  <si>
    <t xml:space="preserve">Kanagawa</t>
  </si>
  <si>
    <t xml:space="preserve">https://www.yakult.co.jp/english/company/network/domestic/minami-kanto.html</t>
  </si>
  <si>
    <t xml:space="preserve">10-13</t>
  </si>
  <si>
    <t xml:space="preserve">Tajima-cho</t>
  </si>
  <si>
    <t xml:space="preserve">Kawasaki-ku, Kawasaki-shi</t>
  </si>
  <si>
    <t xml:space="preserve">10-13 Tajima-cho, Kawasaki-ku, Kawasaki-shi, Kanagawa</t>
  </si>
  <si>
    <t xml:space="preserve">Partial</t>
  </si>
  <si>
    <t xml:space="preserve">High</t>
  </si>
  <si>
    <t xml:space="preserve">Floor, Building, Postal Code</t>
  </si>
  <si>
    <t xml:space="preserve">Site lists this entity as 'Yakult Kanagawa Tobu Sales Co., Ltd.' Door no. on site is 10-13 (scraped showed 10-10). Postal code not published on Sales Companies page.</t>
  </si>
  <si>
    <t xml:space="preserve">Fukushima Plant</t>
  </si>
  <si>
    <t xml:space="preserve">10-1 Toochi, Kuroiwa, Fukushima-shi, 960-8520, Japan</t>
  </si>
  <si>
    <t xml:space="preserve">Fukushima City</t>
  </si>
  <si>
    <t xml:space="preserve">10-1</t>
  </si>
  <si>
    <t xml:space="preserve">Aza Toochi</t>
  </si>
  <si>
    <t xml:space="preserve">Kuroiwa, Fukushima-shi</t>
  </si>
  <si>
    <t xml:space="preserve">960-8520</t>
  </si>
  <si>
    <r>
      <rPr>
        <sz val="9"/>
        <rFont val="Noto Sans CJK SC"/>
        <family val="2"/>
      </rPr>
      <t xml:space="preserve">〒</t>
    </r>
    <r>
      <rPr>
        <sz val="9"/>
        <rFont val="Arial"/>
        <family val="0"/>
        <charset val="1"/>
      </rPr>
      <t xml:space="preserve">960-8520 </t>
    </r>
    <r>
      <rPr>
        <sz val="9"/>
        <rFont val="Noto Sans CJK SC"/>
        <family val="2"/>
      </rPr>
      <t xml:space="preserve">福島県福島市黒岩字遠沖</t>
    </r>
    <r>
      <rPr>
        <sz val="9"/>
        <rFont val="Arial"/>
        <family val="0"/>
        <charset val="1"/>
      </rPr>
      <t xml:space="preserve">10-1</t>
    </r>
  </si>
  <si>
    <t xml:space="preserve">Verified</t>
  </si>
  <si>
    <t xml:space="preserve">Floor, Building</t>
  </si>
  <si>
    <t xml:space="preserve">Confirmed on factory page (JP) and on office.html. Door no. 10-1 matches.</t>
  </si>
  <si>
    <t xml:space="preserve">Yakult Kanagawa Tobu Sales Co., Ltd.</t>
  </si>
  <si>
    <t xml:space="preserve">Exact match. Postal code not published on Sales Companies page.</t>
  </si>
  <si>
    <t xml:space="preserve">Yakult Oita Sales Co., Ltd.</t>
  </si>
  <si>
    <t xml:space="preserve">10-1-25 Ishigaki-higashi, Beppu-shi, Oita</t>
  </si>
  <si>
    <t xml:space="preserve">Beppu City</t>
  </si>
  <si>
    <t xml:space="preserve">Oita</t>
  </si>
  <si>
    <t xml:space="preserve">https://www.yakult.co.jp/english/company/network/domestic/kyusyu.html</t>
  </si>
  <si>
    <t xml:space="preserve">10-1-25</t>
  </si>
  <si>
    <t xml:space="preserve">Ishigaki-higashi</t>
  </si>
  <si>
    <t xml:space="preserve">Beppu-shi</t>
  </si>
  <si>
    <t xml:space="preserve">Exact match. Listed under Sales Company (Oita), not Manufacturing.</t>
  </si>
  <si>
    <t xml:space="preserve">Head Office</t>
  </si>
  <si>
    <t xml:space="preserve">10-30, Kaigan, 1-chome, Minato-ku, Tokyo, 105-8660</t>
  </si>
  <si>
    <t xml:space="preserve">Minato-ku</t>
  </si>
  <si>
    <t xml:space="preserve">Tokyo</t>
  </si>
  <si>
    <t xml:space="preserve">1-10-30</t>
  </si>
  <si>
    <t xml:space="preserve">Kaigan</t>
  </si>
  <si>
    <t xml:space="preserve">105-8660</t>
  </si>
  <si>
    <r>
      <rPr>
        <sz val="9"/>
        <rFont val="Arial"/>
        <family val="0"/>
        <charset val="1"/>
      </rPr>
      <t xml:space="preserve">1-10-30, Kaigan, Minato-ku, Tokyo, Japan (</t>
    </r>
    <r>
      <rPr>
        <sz val="9"/>
        <rFont val="Noto Sans CJK SC"/>
        <family val="2"/>
      </rPr>
      <t xml:space="preserve">〒</t>
    </r>
    <r>
      <rPr>
        <sz val="9"/>
        <rFont val="Arial"/>
        <family val="0"/>
        <charset val="1"/>
      </rPr>
      <t xml:space="preserve">105-8660)</t>
    </r>
  </si>
  <si>
    <r>
      <rPr>
        <sz val="9"/>
        <rFont val="Arial"/>
        <family val="0"/>
        <charset val="1"/>
      </rPr>
      <t xml:space="preserve">Confirmed in Sustainability Report 2024 (p.4): '1-10-30, Kaigan, Minato-ku, Tokyo, Japan'. Postal code </t>
    </r>
    <r>
      <rPr>
        <sz val="9"/>
        <rFont val="Noto Sans CJK SC"/>
        <family val="2"/>
      </rPr>
      <t xml:space="preserve">〒</t>
    </r>
    <r>
      <rPr>
        <sz val="9"/>
        <rFont val="Arial"/>
        <family val="0"/>
        <charset val="1"/>
      </rPr>
      <t xml:space="preserve">105-8660 from recruitment office page.</t>
    </r>
  </si>
  <si>
    <t xml:space="preserve">Yakult Honsha Central Research Institute</t>
  </si>
  <si>
    <t xml:space="preserve">11 Izumi 5-chome, Kunitachi City, Tokyo</t>
  </si>
  <si>
    <t xml:space="preserve">Kunitachi City</t>
  </si>
  <si>
    <t xml:space="preserve">https://www.yakult.co.jp/ypi/en/company/about.html</t>
  </si>
  <si>
    <t xml:space="preserve">5-11</t>
  </si>
  <si>
    <t xml:space="preserve">Izumi</t>
  </si>
  <si>
    <t xml:space="preserve">Kunitachi-shi</t>
  </si>
  <si>
    <t xml:space="preserve">186-8650</t>
  </si>
  <si>
    <t xml:space="preserve">5-11, Izumi, Kunitachi-shi, Tokyo, 186-8650 Japan</t>
  </si>
  <si>
    <r>
      <rPr>
        <sz val="9"/>
        <rFont val="Arial"/>
        <family val="0"/>
        <charset val="1"/>
      </rPr>
      <t xml:space="preserve">Confirmed on Yakult Pharmaceutical (YPI) head office page and recruitment office page (</t>
    </r>
    <r>
      <rPr>
        <sz val="9"/>
        <rFont val="Noto Sans CJK SC"/>
        <family val="2"/>
      </rPr>
      <t xml:space="preserve">〒</t>
    </r>
    <r>
      <rPr>
        <sz val="9"/>
        <rFont val="Arial"/>
        <family val="0"/>
        <charset val="1"/>
      </rPr>
      <t xml:space="preserve">186-8650 </t>
    </r>
    <r>
      <rPr>
        <sz val="9"/>
        <rFont val="Noto Sans CJK SC"/>
        <family val="2"/>
      </rPr>
      <t xml:space="preserve">東京都国立市泉</t>
    </r>
    <r>
      <rPr>
        <sz val="9"/>
        <rFont val="Arial"/>
        <family val="0"/>
        <charset val="1"/>
      </rPr>
      <t xml:space="preserve">5-11).</t>
    </r>
  </si>
  <si>
    <t xml:space="preserve">Yakult Yokote Sales Co., Ltd.</t>
  </si>
  <si>
    <t xml:space="preserve">107-1 Hachioji Yasuda, Yokote-shi, Akita</t>
  </si>
  <si>
    <t xml:space="preserve">Yokote City</t>
  </si>
  <si>
    <t xml:space="preserve">Akita</t>
  </si>
  <si>
    <t xml:space="preserve">https://www.yakult.co.jp/english/company/network/domestic/tohoku.html</t>
  </si>
  <si>
    <t xml:space="preserve">107-1</t>
  </si>
  <si>
    <t xml:space="preserve">Hachioji Yasuda</t>
  </si>
  <si>
    <t xml:space="preserve">Yokote-shi</t>
  </si>
  <si>
    <t xml:space="preserve">Exact match. Listed under Sales Company (Akita), not Manufacturing.</t>
  </si>
  <si>
    <t xml:space="preserve">DYCOM INDUSTRIES, INC.</t>
  </si>
  <si>
    <t xml:space="preserve">Triple-D Communications, LLC — Lucas Rd</t>
  </si>
  <si>
    <t xml:space="preserve">1117 Lucas Rd</t>
  </si>
  <si>
    <t xml:space="preserve">United States of America</t>
  </si>
  <si>
    <t xml:space="preserve">https://dycomind.com/location/</t>
  </si>
  <si>
    <t xml:space="preserve">https://dycomind.com/location/ returns a server error on every retry. No subsidiary office addresses retrievable.</t>
  </si>
  <si>
    <t xml:space="preserve">Triple-D Communications, LLC — Morentown Rd-2</t>
  </si>
  <si>
    <t xml:space="preserve">97 Morentown Rd</t>
  </si>
  <si>
    <t xml:space="preserve">/location/ page not reachable.</t>
  </si>
  <si>
    <t xml:space="preserve">Blair Park Services, LLC</t>
  </si>
  <si>
    <t xml:space="preserve">405 Caredean Dr., Stes G &amp; H Horsham, PA 19044</t>
  </si>
  <si>
    <t xml:space="preserve">Horsham</t>
  </si>
  <si>
    <t xml:space="preserve">Pennsylvania</t>
  </si>
  <si>
    <t xml:space="preserve">https://dycomind.com/about-us/companies/</t>
  </si>
  <si>
    <t xml:space="preserve">Companies page accessible but only publishes Dycom corporate HQ (300 Banyan Boulevard, Suite 1101, West Palm Beach, FL 33401). Blair Park's own address not shown.</t>
  </si>
  <si>
    <t xml:space="preserve">Triple-D Communications, LLC — Mt Sterling Road</t>
  </si>
  <si>
    <t xml:space="preserve">758 Mt Sterling Road</t>
  </si>
  <si>
    <t xml:space="preserve">Triple-D Communications, LLC — Meadville Road</t>
  </si>
  <si>
    <t xml:space="preserve">7790 Meadville Road</t>
  </si>
  <si>
    <t xml:space="preserve">Triple-D Communications, LLC — Steel Drive</t>
  </si>
  <si>
    <t xml:space="preserve">250 Steel Drive</t>
  </si>
  <si>
    <t xml:space="preserve">Triple-D Communications, LLC — Kevin Avenue</t>
  </si>
  <si>
    <t xml:space="preserve">12366 Kevin Avenue</t>
  </si>
  <si>
    <t xml:space="preserve">Trawick Construction Company, LLC — Hartford Hwy</t>
  </si>
  <si>
    <t xml:space="preserve">2307 Hartford Hwy</t>
  </si>
  <si>
    <t xml:space="preserve">Trawick Construction Company, LLC — East Ave</t>
  </si>
  <si>
    <t xml:space="preserve">555 S. 193rd East Ave</t>
  </si>
  <si>
    <t xml:space="preserve">Trawick Construction Company, LLC — Mack Thompson Rd</t>
  </si>
  <si>
    <t xml:space="preserve">134 Mack Thompson Rd</t>
  </si>
  <si>
    <t xml:space="preserve">KEC INTERNATIONAL LIMITED</t>
  </si>
  <si>
    <t xml:space="preserve">Champa</t>
  </si>
  <si>
    <t xml:space="preserve">India</t>
  </si>
  <si>
    <t xml:space="preserve">https://career8.successfactors.com/career?company=C0014469929P</t>
  </si>
  <si>
    <t xml:space="preserve">Source URL is a SuccessFactors careers/job portal — does not publish KEC office addresses. Use kecrpg.com instead.</t>
  </si>
  <si>
    <t xml:space="preserve">Chanderpur</t>
  </si>
  <si>
    <t xml:space="preserve">Same — careers portal, not an address source.</t>
  </si>
  <si>
    <t xml:space="preserve">Chandigarh</t>
  </si>
  <si>
    <t xml:space="preserve">Same — careers portal.</t>
  </si>
  <si>
    <t xml:space="preserve">Chandrapur</t>
  </si>
  <si>
    <t xml:space="preserve">Chapra</t>
  </si>
  <si>
    <t xml:space="preserve">Char-e-kar (Lot-02)</t>
  </si>
  <si>
    <t xml:space="preserve">Char-e-kar</t>
  </si>
  <si>
    <t xml:space="preserve">Same — careers portal. Data quality flag: Charikar is in Afghanistan, not India.</t>
  </si>
  <si>
    <t xml:space="preserve">Chattarpur</t>
  </si>
  <si>
    <t xml:space="preserve">Chattisgarh</t>
  </si>
  <si>
    <t xml:space="preserve">Same — careers portal. Data quality flag: Chhattisgarh is a state, not a city/office.</t>
  </si>
  <si>
    <t xml:space="preserve">Chausa (Buxar)</t>
  </si>
  <si>
    <t xml:space="preserve">Chausa</t>
  </si>
  <si>
    <t xml:space="preserve">Bihar</t>
  </si>
  <si>
    <t xml:space="preserve">Chennai</t>
  </si>
  <si>
    <t xml:space="preserve">6/14, Anna Salai 3rd Main Road, CIT Nagar West, CIT Nagar, Chennai, Tamil Nadu 600035</t>
  </si>
  <si>
    <t xml:space="preserve">Tamil Nadu</t>
  </si>
  <si>
    <t xml:space="preserve">Source link is careers portal — does not verify addresses. Scraped data is detailed but unverified against an authoritative source.</t>
  </si>
  <si>
    <t xml:space="preserve">SUMMARY</t>
  </si>
  <si>
    <t xml:space="preserve">Total Rows</t>
  </si>
  <si>
    <t xml:space="preserve">Source Unavailable</t>
  </si>
  <si>
    <t xml:space="preserve">Not Found on Source</t>
  </si>
  <si>
    <t xml:space="preserve">Verification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</si>
</sst>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5700"/>
      <name val="Arial"/>
      <family val="0"/>
      <charset val="1"/>
    </font>
    <font>
      <sz val="9"/>
      <name val="Noto Sans CJK SC"/>
      <family val="2"/>
    </font>
    <font>
      <b val="true"/>
      <sz val="9"/>
      <color rgb="FF0061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7" min="5" style="0" width="14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3" min="12" style="0" width="22"/>
    <col collapsed="false" customWidth="true" hidden="false" outlineLevel="0" max="14" min="14" style="0" width="11"/>
    <col collapsed="false" customWidth="true" hidden="false" outlineLevel="0" max="15" min="15" style="0" width="38"/>
    <col collapsed="false" customWidth="true" hidden="false" outlineLevel="0" max="16" min="16" style="0" width="18"/>
    <col collapsed="false" customWidth="true" hidden="false" outlineLevel="0" max="17" min="17" style="0" width="11"/>
    <col collapsed="false" customWidth="true" hidden="false" outlineLevel="0" max="18" min="18" style="0" width="22"/>
    <col collapsed="false" customWidth="true" hidden="false" outlineLevel="0" max="19" min="19" style="0" width="38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69.75" hidden="false" customHeight="true" outlineLevel="0" collapsed="false">
      <c r="A2" s="2" t="n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/>
      <c r="J2" s="2"/>
      <c r="K2" s="2"/>
      <c r="L2" s="2"/>
      <c r="M2" s="2"/>
      <c r="N2" s="2"/>
      <c r="O2" s="2"/>
      <c r="P2" s="3" t="s">
        <v>26</v>
      </c>
      <c r="Q2" s="2" t="s">
        <v>27</v>
      </c>
      <c r="R2" s="2" t="s">
        <v>28</v>
      </c>
      <c r="S2" s="2" t="s">
        <v>29</v>
      </c>
    </row>
    <row r="3" customFormat="false" ht="69.75" hidden="false" customHeight="true" outlineLevel="0" collapsed="false">
      <c r="A3" s="2" t="n">
        <v>2</v>
      </c>
      <c r="B3" s="2" t="s">
        <v>19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/>
      <c r="J3" s="2"/>
      <c r="K3" s="2"/>
      <c r="L3" s="2"/>
      <c r="M3" s="2"/>
      <c r="N3" s="2"/>
      <c r="O3" s="2"/>
      <c r="P3" s="3" t="s">
        <v>36</v>
      </c>
      <c r="Q3" s="2" t="s">
        <v>27</v>
      </c>
      <c r="R3" s="2" t="s">
        <v>37</v>
      </c>
      <c r="S3" s="2" t="s">
        <v>38</v>
      </c>
    </row>
    <row r="4" customFormat="false" ht="69.75" hidden="false" customHeight="true" outlineLevel="0" collapsed="false">
      <c r="A4" s="2" t="n">
        <v>3</v>
      </c>
      <c r="B4" s="2" t="s">
        <v>19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/>
      <c r="J4" s="2"/>
      <c r="K4" s="2"/>
      <c r="L4" s="2"/>
      <c r="M4" s="2"/>
      <c r="N4" s="2"/>
      <c r="O4" s="2"/>
      <c r="P4" s="3" t="s">
        <v>26</v>
      </c>
      <c r="Q4" s="2" t="s">
        <v>27</v>
      </c>
      <c r="R4" s="2" t="s">
        <v>37</v>
      </c>
      <c r="S4" s="2" t="s">
        <v>45</v>
      </c>
    </row>
    <row r="5" customFormat="false" ht="69.75" hidden="false" customHeight="true" outlineLevel="0" collapsed="false">
      <c r="A5" s="2" t="n">
        <v>4</v>
      </c>
      <c r="B5" s="2" t="s">
        <v>19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43</v>
      </c>
      <c r="H5" s="2" t="s">
        <v>50</v>
      </c>
      <c r="I5" s="2" t="s">
        <v>51</v>
      </c>
      <c r="J5" s="2"/>
      <c r="K5" s="2"/>
      <c r="L5" s="2" t="s">
        <v>52</v>
      </c>
      <c r="M5" s="2" t="s">
        <v>53</v>
      </c>
      <c r="N5" s="2"/>
      <c r="O5" s="2" t="s">
        <v>54</v>
      </c>
      <c r="P5" s="4" t="s">
        <v>55</v>
      </c>
      <c r="Q5" s="2" t="s">
        <v>56</v>
      </c>
      <c r="R5" s="2" t="s">
        <v>57</v>
      </c>
      <c r="S5" s="2" t="s">
        <v>58</v>
      </c>
    </row>
    <row r="6" customFormat="false" ht="69.75" hidden="false" customHeight="true" outlineLevel="0" collapsed="false">
      <c r="A6" s="2" t="n">
        <v>5</v>
      </c>
      <c r="B6" s="2" t="s">
        <v>19</v>
      </c>
      <c r="C6" s="2" t="s">
        <v>59</v>
      </c>
      <c r="D6" s="2" t="s">
        <v>60</v>
      </c>
      <c r="E6" s="2" t="s">
        <v>61</v>
      </c>
      <c r="F6" s="2" t="s">
        <v>42</v>
      </c>
      <c r="G6" s="2" t="s">
        <v>43</v>
      </c>
      <c r="H6" s="2" t="s">
        <v>44</v>
      </c>
      <c r="I6" s="2" t="s">
        <v>62</v>
      </c>
      <c r="J6" s="2"/>
      <c r="K6" s="2"/>
      <c r="L6" s="2" t="s">
        <v>63</v>
      </c>
      <c r="M6" s="2" t="s">
        <v>64</v>
      </c>
      <c r="N6" s="2" t="s">
        <v>65</v>
      </c>
      <c r="O6" s="5" t="s">
        <v>66</v>
      </c>
      <c r="P6" s="6" t="s">
        <v>67</v>
      </c>
      <c r="Q6" s="2" t="s">
        <v>56</v>
      </c>
      <c r="R6" s="2" t="s">
        <v>68</v>
      </c>
      <c r="S6" s="2" t="s">
        <v>69</v>
      </c>
    </row>
    <row r="7" customFormat="false" ht="69.75" hidden="false" customHeight="true" outlineLevel="0" collapsed="false">
      <c r="A7" s="2" t="n">
        <v>6</v>
      </c>
      <c r="B7" s="2" t="s">
        <v>19</v>
      </c>
      <c r="C7" s="2" t="s">
        <v>70</v>
      </c>
      <c r="D7" s="2" t="s">
        <v>54</v>
      </c>
      <c r="E7" s="2" t="s">
        <v>48</v>
      </c>
      <c r="F7" s="2" t="s">
        <v>49</v>
      </c>
      <c r="G7" s="2" t="s">
        <v>43</v>
      </c>
      <c r="H7" s="2" t="s">
        <v>50</v>
      </c>
      <c r="I7" s="2" t="s">
        <v>51</v>
      </c>
      <c r="J7" s="2"/>
      <c r="K7" s="2"/>
      <c r="L7" s="2" t="s">
        <v>52</v>
      </c>
      <c r="M7" s="2" t="s">
        <v>53</v>
      </c>
      <c r="N7" s="2"/>
      <c r="O7" s="2" t="s">
        <v>54</v>
      </c>
      <c r="P7" s="6" t="s">
        <v>67</v>
      </c>
      <c r="Q7" s="2" t="s">
        <v>56</v>
      </c>
      <c r="R7" s="2" t="s">
        <v>57</v>
      </c>
      <c r="S7" s="2" t="s">
        <v>71</v>
      </c>
    </row>
    <row r="8" customFormat="false" ht="69.75" hidden="false" customHeight="true" outlineLevel="0" collapsed="false">
      <c r="A8" s="2" t="n">
        <v>7</v>
      </c>
      <c r="B8" s="2" t="s">
        <v>19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43</v>
      </c>
      <c r="H8" s="2" t="s">
        <v>76</v>
      </c>
      <c r="I8" s="2" t="s">
        <v>77</v>
      </c>
      <c r="J8" s="2"/>
      <c r="K8" s="2"/>
      <c r="L8" s="2" t="s">
        <v>78</v>
      </c>
      <c r="M8" s="2" t="s">
        <v>79</v>
      </c>
      <c r="N8" s="2"/>
      <c r="O8" s="2" t="s">
        <v>73</v>
      </c>
      <c r="P8" s="6" t="s">
        <v>67</v>
      </c>
      <c r="Q8" s="2" t="s">
        <v>56</v>
      </c>
      <c r="R8" s="2" t="s">
        <v>57</v>
      </c>
      <c r="S8" s="2" t="s">
        <v>80</v>
      </c>
    </row>
    <row r="9" customFormat="false" ht="69.75" hidden="false" customHeight="true" outlineLevel="0" collapsed="false">
      <c r="A9" s="2" t="n">
        <v>8</v>
      </c>
      <c r="B9" s="2" t="s">
        <v>19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43</v>
      </c>
      <c r="H9" s="2" t="s">
        <v>25</v>
      </c>
      <c r="I9" s="2" t="s">
        <v>85</v>
      </c>
      <c r="J9" s="2"/>
      <c r="K9" s="2"/>
      <c r="L9" s="2" t="s">
        <v>86</v>
      </c>
      <c r="M9" s="2" t="s">
        <v>83</v>
      </c>
      <c r="N9" s="2" t="s">
        <v>87</v>
      </c>
      <c r="O9" s="2" t="s">
        <v>88</v>
      </c>
      <c r="P9" s="6" t="s">
        <v>67</v>
      </c>
      <c r="Q9" s="2" t="s">
        <v>56</v>
      </c>
      <c r="R9" s="2" t="s">
        <v>68</v>
      </c>
      <c r="S9" s="2" t="s">
        <v>89</v>
      </c>
    </row>
    <row r="10" customFormat="false" ht="69.75" hidden="false" customHeight="true" outlineLevel="0" collapsed="false">
      <c r="A10" s="2" t="n">
        <v>9</v>
      </c>
      <c r="B10" s="2" t="s">
        <v>19</v>
      </c>
      <c r="C10" s="2" t="s">
        <v>90</v>
      </c>
      <c r="D10" s="2" t="s">
        <v>91</v>
      </c>
      <c r="E10" s="2" t="s">
        <v>92</v>
      </c>
      <c r="F10" s="2" t="s">
        <v>84</v>
      </c>
      <c r="G10" s="2" t="s">
        <v>43</v>
      </c>
      <c r="H10" s="2" t="s">
        <v>93</v>
      </c>
      <c r="I10" s="2" t="s">
        <v>94</v>
      </c>
      <c r="J10" s="2"/>
      <c r="K10" s="2"/>
      <c r="L10" s="2" t="s">
        <v>95</v>
      </c>
      <c r="M10" s="2" t="s">
        <v>96</v>
      </c>
      <c r="N10" s="2" t="s">
        <v>97</v>
      </c>
      <c r="O10" s="2" t="s">
        <v>98</v>
      </c>
      <c r="P10" s="6" t="s">
        <v>67</v>
      </c>
      <c r="Q10" s="2" t="s">
        <v>56</v>
      </c>
      <c r="R10" s="2" t="s">
        <v>68</v>
      </c>
      <c r="S10" s="2" t="s">
        <v>99</v>
      </c>
    </row>
    <row r="11" customFormat="false" ht="69.75" hidden="false" customHeight="true" outlineLevel="0" collapsed="false">
      <c r="A11" s="2" t="n">
        <v>10</v>
      </c>
      <c r="B11" s="2" t="s">
        <v>19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43</v>
      </c>
      <c r="H11" s="2" t="s">
        <v>104</v>
      </c>
      <c r="I11" s="2" t="s">
        <v>105</v>
      </c>
      <c r="J11" s="2"/>
      <c r="K11" s="2"/>
      <c r="L11" s="2" t="s">
        <v>106</v>
      </c>
      <c r="M11" s="2" t="s">
        <v>107</v>
      </c>
      <c r="N11" s="2"/>
      <c r="O11" s="2" t="s">
        <v>101</v>
      </c>
      <c r="P11" s="6" t="s">
        <v>67</v>
      </c>
      <c r="Q11" s="2" t="s">
        <v>56</v>
      </c>
      <c r="R11" s="2" t="s">
        <v>57</v>
      </c>
      <c r="S11" s="2" t="s">
        <v>108</v>
      </c>
    </row>
    <row r="12" customFormat="false" ht="69.75" hidden="false" customHeight="true" outlineLevel="0" collapsed="false">
      <c r="A12" s="2" t="n">
        <v>11</v>
      </c>
      <c r="B12" s="2" t="s">
        <v>109</v>
      </c>
      <c r="C12" s="2" t="s">
        <v>110</v>
      </c>
      <c r="D12" s="2" t="s">
        <v>111</v>
      </c>
      <c r="E12" s="2"/>
      <c r="F12" s="2"/>
      <c r="G12" s="2" t="s">
        <v>112</v>
      </c>
      <c r="H12" s="2" t="s">
        <v>113</v>
      </c>
      <c r="I12" s="2"/>
      <c r="J12" s="2"/>
      <c r="K12" s="2"/>
      <c r="L12" s="2"/>
      <c r="M12" s="2"/>
      <c r="N12" s="2"/>
      <c r="O12" s="2"/>
      <c r="P12" s="3" t="s">
        <v>36</v>
      </c>
      <c r="Q12" s="2" t="s">
        <v>27</v>
      </c>
      <c r="R12" s="2" t="s">
        <v>37</v>
      </c>
      <c r="S12" s="2" t="s">
        <v>114</v>
      </c>
    </row>
    <row r="13" customFormat="false" ht="69.75" hidden="false" customHeight="true" outlineLevel="0" collapsed="false">
      <c r="A13" s="2" t="n">
        <v>12</v>
      </c>
      <c r="B13" s="2" t="s">
        <v>109</v>
      </c>
      <c r="C13" s="2" t="s">
        <v>115</v>
      </c>
      <c r="D13" s="2" t="s">
        <v>116</v>
      </c>
      <c r="E13" s="2"/>
      <c r="F13" s="2"/>
      <c r="G13" s="2" t="s">
        <v>112</v>
      </c>
      <c r="H13" s="2" t="s">
        <v>113</v>
      </c>
      <c r="I13" s="2"/>
      <c r="J13" s="2"/>
      <c r="K13" s="2"/>
      <c r="L13" s="2"/>
      <c r="M13" s="2"/>
      <c r="N13" s="2"/>
      <c r="O13" s="2"/>
      <c r="P13" s="3" t="s">
        <v>36</v>
      </c>
      <c r="Q13" s="2" t="s">
        <v>27</v>
      </c>
      <c r="R13" s="2" t="s">
        <v>37</v>
      </c>
      <c r="S13" s="2" t="s">
        <v>117</v>
      </c>
    </row>
    <row r="14" customFormat="false" ht="69.75" hidden="false" customHeight="true" outlineLevel="0" collapsed="false">
      <c r="A14" s="2" t="n">
        <v>13</v>
      </c>
      <c r="B14" s="2" t="s">
        <v>109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112</v>
      </c>
      <c r="H14" s="2" t="s">
        <v>122</v>
      </c>
      <c r="I14" s="2"/>
      <c r="J14" s="2"/>
      <c r="K14" s="2"/>
      <c r="L14" s="2"/>
      <c r="M14" s="2"/>
      <c r="N14" s="2"/>
      <c r="O14" s="2"/>
      <c r="P14" s="3" t="s">
        <v>26</v>
      </c>
      <c r="Q14" s="2" t="s">
        <v>27</v>
      </c>
      <c r="R14" s="2" t="s">
        <v>37</v>
      </c>
      <c r="S14" s="2" t="s">
        <v>123</v>
      </c>
    </row>
    <row r="15" customFormat="false" ht="69.75" hidden="false" customHeight="true" outlineLevel="0" collapsed="false">
      <c r="A15" s="2" t="n">
        <v>14</v>
      </c>
      <c r="B15" s="2" t="s">
        <v>109</v>
      </c>
      <c r="C15" s="2" t="s">
        <v>124</v>
      </c>
      <c r="D15" s="2" t="s">
        <v>125</v>
      </c>
      <c r="E15" s="2"/>
      <c r="F15" s="2"/>
      <c r="G15" s="2" t="s">
        <v>112</v>
      </c>
      <c r="H15" s="2" t="s">
        <v>113</v>
      </c>
      <c r="I15" s="2"/>
      <c r="J15" s="2"/>
      <c r="K15" s="2"/>
      <c r="L15" s="2"/>
      <c r="M15" s="2"/>
      <c r="N15" s="2"/>
      <c r="O15" s="2"/>
      <c r="P15" s="3" t="s">
        <v>36</v>
      </c>
      <c r="Q15" s="2" t="s">
        <v>27</v>
      </c>
      <c r="R15" s="2" t="s">
        <v>37</v>
      </c>
      <c r="S15" s="2" t="s">
        <v>117</v>
      </c>
    </row>
    <row r="16" customFormat="false" ht="69.75" hidden="false" customHeight="true" outlineLevel="0" collapsed="false">
      <c r="A16" s="2" t="n">
        <v>15</v>
      </c>
      <c r="B16" s="2" t="s">
        <v>109</v>
      </c>
      <c r="C16" s="2" t="s">
        <v>126</v>
      </c>
      <c r="D16" s="2" t="s">
        <v>127</v>
      </c>
      <c r="E16" s="2"/>
      <c r="F16" s="2"/>
      <c r="G16" s="2" t="s">
        <v>112</v>
      </c>
      <c r="H16" s="2" t="s">
        <v>113</v>
      </c>
      <c r="I16" s="2"/>
      <c r="J16" s="2"/>
      <c r="K16" s="2"/>
      <c r="L16" s="2"/>
      <c r="M16" s="2"/>
      <c r="N16" s="2"/>
      <c r="O16" s="2"/>
      <c r="P16" s="3" t="s">
        <v>36</v>
      </c>
      <c r="Q16" s="2" t="s">
        <v>27</v>
      </c>
      <c r="R16" s="2" t="s">
        <v>37</v>
      </c>
      <c r="S16" s="2" t="s">
        <v>117</v>
      </c>
    </row>
    <row r="17" customFormat="false" ht="69.75" hidden="false" customHeight="true" outlineLevel="0" collapsed="false">
      <c r="A17" s="2" t="n">
        <v>16</v>
      </c>
      <c r="B17" s="2" t="s">
        <v>109</v>
      </c>
      <c r="C17" s="2" t="s">
        <v>128</v>
      </c>
      <c r="D17" s="2" t="s">
        <v>129</v>
      </c>
      <c r="E17" s="2"/>
      <c r="F17" s="2"/>
      <c r="G17" s="2" t="s">
        <v>112</v>
      </c>
      <c r="H17" s="2" t="s">
        <v>113</v>
      </c>
      <c r="I17" s="2"/>
      <c r="J17" s="2"/>
      <c r="K17" s="2"/>
      <c r="L17" s="2"/>
      <c r="M17" s="2"/>
      <c r="N17" s="2"/>
      <c r="O17" s="2"/>
      <c r="P17" s="3" t="s">
        <v>36</v>
      </c>
      <c r="Q17" s="2" t="s">
        <v>27</v>
      </c>
      <c r="R17" s="2" t="s">
        <v>37</v>
      </c>
      <c r="S17" s="2" t="s">
        <v>117</v>
      </c>
    </row>
    <row r="18" customFormat="false" ht="69.75" hidden="false" customHeight="true" outlineLevel="0" collapsed="false">
      <c r="A18" s="2" t="n">
        <v>17</v>
      </c>
      <c r="B18" s="2" t="s">
        <v>109</v>
      </c>
      <c r="C18" s="2" t="s">
        <v>130</v>
      </c>
      <c r="D18" s="2" t="s">
        <v>131</v>
      </c>
      <c r="E18" s="2"/>
      <c r="F18" s="2"/>
      <c r="G18" s="2" t="s">
        <v>112</v>
      </c>
      <c r="H18" s="2" t="s">
        <v>113</v>
      </c>
      <c r="I18" s="2"/>
      <c r="J18" s="2"/>
      <c r="K18" s="2"/>
      <c r="L18" s="2"/>
      <c r="M18" s="2"/>
      <c r="N18" s="2"/>
      <c r="O18" s="2"/>
      <c r="P18" s="3" t="s">
        <v>36</v>
      </c>
      <c r="Q18" s="2" t="s">
        <v>27</v>
      </c>
      <c r="R18" s="2" t="s">
        <v>37</v>
      </c>
      <c r="S18" s="2" t="s">
        <v>117</v>
      </c>
    </row>
    <row r="19" customFormat="false" ht="69.75" hidden="false" customHeight="true" outlineLevel="0" collapsed="false">
      <c r="A19" s="2" t="n">
        <v>18</v>
      </c>
      <c r="B19" s="2" t="s">
        <v>109</v>
      </c>
      <c r="C19" s="2" t="s">
        <v>132</v>
      </c>
      <c r="D19" s="2" t="s">
        <v>133</v>
      </c>
      <c r="E19" s="2"/>
      <c r="F19" s="2"/>
      <c r="G19" s="2" t="s">
        <v>112</v>
      </c>
      <c r="H19" s="2" t="s">
        <v>113</v>
      </c>
      <c r="I19" s="2"/>
      <c r="J19" s="2"/>
      <c r="K19" s="2"/>
      <c r="L19" s="2"/>
      <c r="M19" s="2"/>
      <c r="N19" s="2"/>
      <c r="O19" s="2"/>
      <c r="P19" s="3" t="s">
        <v>36</v>
      </c>
      <c r="Q19" s="2" t="s">
        <v>27</v>
      </c>
      <c r="R19" s="2" t="s">
        <v>37</v>
      </c>
      <c r="S19" s="2" t="s">
        <v>117</v>
      </c>
    </row>
    <row r="20" customFormat="false" ht="69.75" hidden="false" customHeight="true" outlineLevel="0" collapsed="false">
      <c r="A20" s="2" t="n">
        <v>19</v>
      </c>
      <c r="B20" s="2" t="s">
        <v>109</v>
      </c>
      <c r="C20" s="2" t="s">
        <v>134</v>
      </c>
      <c r="D20" s="2" t="s">
        <v>135</v>
      </c>
      <c r="E20" s="2"/>
      <c r="F20" s="2"/>
      <c r="G20" s="2" t="s">
        <v>112</v>
      </c>
      <c r="H20" s="2" t="s">
        <v>113</v>
      </c>
      <c r="I20" s="2"/>
      <c r="J20" s="2"/>
      <c r="K20" s="2"/>
      <c r="L20" s="2"/>
      <c r="M20" s="2"/>
      <c r="N20" s="2"/>
      <c r="O20" s="2"/>
      <c r="P20" s="3" t="s">
        <v>36</v>
      </c>
      <c r="Q20" s="2" t="s">
        <v>27</v>
      </c>
      <c r="R20" s="2" t="s">
        <v>37</v>
      </c>
      <c r="S20" s="2" t="s">
        <v>117</v>
      </c>
    </row>
    <row r="21" customFormat="false" ht="69.75" hidden="false" customHeight="true" outlineLevel="0" collapsed="false">
      <c r="A21" s="2" t="n">
        <v>20</v>
      </c>
      <c r="B21" s="2" t="s">
        <v>109</v>
      </c>
      <c r="C21" s="2" t="s">
        <v>136</v>
      </c>
      <c r="D21" s="2" t="s">
        <v>137</v>
      </c>
      <c r="E21" s="2"/>
      <c r="F21" s="2"/>
      <c r="G21" s="2" t="s">
        <v>112</v>
      </c>
      <c r="H21" s="2" t="s">
        <v>113</v>
      </c>
      <c r="I21" s="2"/>
      <c r="J21" s="2"/>
      <c r="K21" s="2"/>
      <c r="L21" s="2"/>
      <c r="M21" s="2"/>
      <c r="N21" s="2"/>
      <c r="O21" s="2"/>
      <c r="P21" s="3" t="s">
        <v>36</v>
      </c>
      <c r="Q21" s="2" t="s">
        <v>27</v>
      </c>
      <c r="R21" s="2" t="s">
        <v>37</v>
      </c>
      <c r="S21" s="2" t="s">
        <v>117</v>
      </c>
    </row>
    <row r="22" customFormat="false" ht="69.75" hidden="false" customHeight="true" outlineLevel="0" collapsed="false">
      <c r="A22" s="2" t="n">
        <v>21</v>
      </c>
      <c r="B22" s="2" t="s">
        <v>138</v>
      </c>
      <c r="C22" s="2" t="s">
        <v>139</v>
      </c>
      <c r="D22" s="2" t="s">
        <v>139</v>
      </c>
      <c r="E22" s="2" t="s">
        <v>139</v>
      </c>
      <c r="F22" s="2"/>
      <c r="G22" s="2" t="s">
        <v>140</v>
      </c>
      <c r="H22" s="2" t="s">
        <v>141</v>
      </c>
      <c r="I22" s="2"/>
      <c r="J22" s="2"/>
      <c r="K22" s="2"/>
      <c r="L22" s="2"/>
      <c r="M22" s="2"/>
      <c r="N22" s="2"/>
      <c r="O22" s="2"/>
      <c r="P22" s="3" t="s">
        <v>36</v>
      </c>
      <c r="Q22" s="2" t="s">
        <v>27</v>
      </c>
      <c r="R22" s="2" t="s">
        <v>37</v>
      </c>
      <c r="S22" s="2" t="s">
        <v>142</v>
      </c>
    </row>
    <row r="23" customFormat="false" ht="69.75" hidden="false" customHeight="true" outlineLevel="0" collapsed="false">
      <c r="A23" s="2" t="n">
        <v>22</v>
      </c>
      <c r="B23" s="2" t="s">
        <v>138</v>
      </c>
      <c r="C23" s="2" t="s">
        <v>143</v>
      </c>
      <c r="D23" s="2" t="s">
        <v>143</v>
      </c>
      <c r="E23" s="2" t="s">
        <v>143</v>
      </c>
      <c r="F23" s="2"/>
      <c r="G23" s="2" t="s">
        <v>140</v>
      </c>
      <c r="H23" s="2" t="s">
        <v>141</v>
      </c>
      <c r="I23" s="2"/>
      <c r="J23" s="2"/>
      <c r="K23" s="2"/>
      <c r="L23" s="2"/>
      <c r="M23" s="2"/>
      <c r="N23" s="2"/>
      <c r="O23" s="2"/>
      <c r="P23" s="3" t="s">
        <v>36</v>
      </c>
      <c r="Q23" s="2" t="s">
        <v>27</v>
      </c>
      <c r="R23" s="2" t="s">
        <v>37</v>
      </c>
      <c r="S23" s="2" t="s">
        <v>144</v>
      </c>
    </row>
    <row r="24" customFormat="false" ht="69.75" hidden="false" customHeight="true" outlineLevel="0" collapsed="false">
      <c r="A24" s="2" t="n">
        <v>23</v>
      </c>
      <c r="B24" s="2" t="s">
        <v>138</v>
      </c>
      <c r="C24" s="2" t="s">
        <v>145</v>
      </c>
      <c r="D24" s="2" t="s">
        <v>145</v>
      </c>
      <c r="E24" s="2" t="s">
        <v>145</v>
      </c>
      <c r="F24" s="2"/>
      <c r="G24" s="2" t="s">
        <v>140</v>
      </c>
      <c r="H24" s="2" t="s">
        <v>141</v>
      </c>
      <c r="I24" s="2"/>
      <c r="J24" s="2"/>
      <c r="K24" s="2"/>
      <c r="L24" s="2"/>
      <c r="M24" s="2"/>
      <c r="N24" s="2"/>
      <c r="O24" s="2"/>
      <c r="P24" s="3" t="s">
        <v>36</v>
      </c>
      <c r="Q24" s="2" t="s">
        <v>27</v>
      </c>
      <c r="R24" s="2" t="s">
        <v>37</v>
      </c>
      <c r="S24" s="2" t="s">
        <v>146</v>
      </c>
    </row>
    <row r="25" customFormat="false" ht="69.75" hidden="false" customHeight="true" outlineLevel="0" collapsed="false">
      <c r="A25" s="2" t="n">
        <v>24</v>
      </c>
      <c r="B25" s="2" t="s">
        <v>138</v>
      </c>
      <c r="C25" s="2" t="s">
        <v>147</v>
      </c>
      <c r="D25" s="2" t="s">
        <v>147</v>
      </c>
      <c r="E25" s="2" t="s">
        <v>147</v>
      </c>
      <c r="F25" s="2"/>
      <c r="G25" s="2" t="s">
        <v>140</v>
      </c>
      <c r="H25" s="2" t="s">
        <v>141</v>
      </c>
      <c r="I25" s="2"/>
      <c r="J25" s="2"/>
      <c r="K25" s="2"/>
      <c r="L25" s="2"/>
      <c r="M25" s="2"/>
      <c r="N25" s="2"/>
      <c r="O25" s="2"/>
      <c r="P25" s="3" t="s">
        <v>36</v>
      </c>
      <c r="Q25" s="2" t="s">
        <v>27</v>
      </c>
      <c r="R25" s="2" t="s">
        <v>37</v>
      </c>
      <c r="S25" s="2" t="s">
        <v>146</v>
      </c>
    </row>
    <row r="26" customFormat="false" ht="69.75" hidden="false" customHeight="true" outlineLevel="0" collapsed="false">
      <c r="A26" s="2" t="n">
        <v>25</v>
      </c>
      <c r="B26" s="2" t="s">
        <v>138</v>
      </c>
      <c r="C26" s="2" t="s">
        <v>148</v>
      </c>
      <c r="D26" s="2" t="s">
        <v>148</v>
      </c>
      <c r="E26" s="2" t="s">
        <v>148</v>
      </c>
      <c r="F26" s="2"/>
      <c r="G26" s="2" t="s">
        <v>140</v>
      </c>
      <c r="H26" s="2" t="s">
        <v>141</v>
      </c>
      <c r="I26" s="2"/>
      <c r="J26" s="2"/>
      <c r="K26" s="2"/>
      <c r="L26" s="2"/>
      <c r="M26" s="2"/>
      <c r="N26" s="2"/>
      <c r="O26" s="2"/>
      <c r="P26" s="3" t="s">
        <v>36</v>
      </c>
      <c r="Q26" s="2" t="s">
        <v>27</v>
      </c>
      <c r="R26" s="2" t="s">
        <v>37</v>
      </c>
      <c r="S26" s="2" t="s">
        <v>146</v>
      </c>
    </row>
    <row r="27" customFormat="false" ht="69.75" hidden="false" customHeight="true" outlineLevel="0" collapsed="false">
      <c r="A27" s="2" t="n">
        <v>26</v>
      </c>
      <c r="B27" s="2" t="s">
        <v>138</v>
      </c>
      <c r="C27" s="2" t="s">
        <v>149</v>
      </c>
      <c r="D27" s="2" t="s">
        <v>149</v>
      </c>
      <c r="E27" s="2" t="s">
        <v>150</v>
      </c>
      <c r="F27" s="2"/>
      <c r="G27" s="2" t="s">
        <v>140</v>
      </c>
      <c r="H27" s="2" t="s">
        <v>141</v>
      </c>
      <c r="I27" s="2"/>
      <c r="J27" s="2"/>
      <c r="K27" s="2"/>
      <c r="L27" s="2"/>
      <c r="M27" s="2"/>
      <c r="N27" s="2"/>
      <c r="O27" s="2"/>
      <c r="P27" s="3" t="s">
        <v>36</v>
      </c>
      <c r="Q27" s="2" t="s">
        <v>27</v>
      </c>
      <c r="R27" s="2" t="s">
        <v>37</v>
      </c>
      <c r="S27" s="2" t="s">
        <v>151</v>
      </c>
    </row>
    <row r="28" customFormat="false" ht="69.75" hidden="false" customHeight="true" outlineLevel="0" collapsed="false">
      <c r="A28" s="2" t="n">
        <v>27</v>
      </c>
      <c r="B28" s="2" t="s">
        <v>138</v>
      </c>
      <c r="C28" s="2" t="s">
        <v>152</v>
      </c>
      <c r="D28" s="2" t="s">
        <v>152</v>
      </c>
      <c r="E28" s="2" t="s">
        <v>152</v>
      </c>
      <c r="F28" s="2"/>
      <c r="G28" s="2" t="s">
        <v>140</v>
      </c>
      <c r="H28" s="2" t="s">
        <v>141</v>
      </c>
      <c r="I28" s="2"/>
      <c r="J28" s="2"/>
      <c r="K28" s="2"/>
      <c r="L28" s="2"/>
      <c r="M28" s="2"/>
      <c r="N28" s="2"/>
      <c r="O28" s="2"/>
      <c r="P28" s="3" t="s">
        <v>36</v>
      </c>
      <c r="Q28" s="2" t="s">
        <v>27</v>
      </c>
      <c r="R28" s="2" t="s">
        <v>37</v>
      </c>
      <c r="S28" s="2" t="s">
        <v>146</v>
      </c>
    </row>
    <row r="29" customFormat="false" ht="69.75" hidden="false" customHeight="true" outlineLevel="0" collapsed="false">
      <c r="A29" s="2" t="n">
        <v>28</v>
      </c>
      <c r="B29" s="2" t="s">
        <v>138</v>
      </c>
      <c r="C29" s="2" t="s">
        <v>153</v>
      </c>
      <c r="D29" s="2" t="s">
        <v>153</v>
      </c>
      <c r="E29" s="2" t="s">
        <v>153</v>
      </c>
      <c r="F29" s="2"/>
      <c r="G29" s="2" t="s">
        <v>140</v>
      </c>
      <c r="H29" s="2" t="s">
        <v>141</v>
      </c>
      <c r="I29" s="2"/>
      <c r="J29" s="2"/>
      <c r="K29" s="2"/>
      <c r="L29" s="2"/>
      <c r="M29" s="2"/>
      <c r="N29" s="2"/>
      <c r="O29" s="2"/>
      <c r="P29" s="3" t="s">
        <v>36</v>
      </c>
      <c r="Q29" s="2" t="s">
        <v>27</v>
      </c>
      <c r="R29" s="2" t="s">
        <v>37</v>
      </c>
      <c r="S29" s="2" t="s">
        <v>154</v>
      </c>
    </row>
    <row r="30" customFormat="false" ht="69.75" hidden="false" customHeight="true" outlineLevel="0" collapsed="false">
      <c r="A30" s="2" t="n">
        <v>29</v>
      </c>
      <c r="B30" s="2" t="s">
        <v>138</v>
      </c>
      <c r="C30" s="2" t="s">
        <v>155</v>
      </c>
      <c r="D30" s="2" t="s">
        <v>155</v>
      </c>
      <c r="E30" s="2" t="s">
        <v>156</v>
      </c>
      <c r="F30" s="2" t="s">
        <v>157</v>
      </c>
      <c r="G30" s="2" t="s">
        <v>140</v>
      </c>
      <c r="H30" s="2" t="s">
        <v>141</v>
      </c>
      <c r="I30" s="2"/>
      <c r="J30" s="2"/>
      <c r="K30" s="2"/>
      <c r="L30" s="2"/>
      <c r="M30" s="2"/>
      <c r="N30" s="2"/>
      <c r="O30" s="2"/>
      <c r="P30" s="3" t="s">
        <v>36</v>
      </c>
      <c r="Q30" s="2" t="s">
        <v>27</v>
      </c>
      <c r="R30" s="2" t="s">
        <v>37</v>
      </c>
      <c r="S30" s="2" t="s">
        <v>146</v>
      </c>
    </row>
    <row r="31" customFormat="false" ht="69.75" hidden="false" customHeight="true" outlineLevel="0" collapsed="false">
      <c r="A31" s="2" t="n">
        <v>30</v>
      </c>
      <c r="B31" s="2" t="s">
        <v>138</v>
      </c>
      <c r="C31" s="2" t="s">
        <v>158</v>
      </c>
      <c r="D31" s="2" t="s">
        <v>159</v>
      </c>
      <c r="E31" s="2" t="s">
        <v>158</v>
      </c>
      <c r="F31" s="2" t="s">
        <v>160</v>
      </c>
      <c r="G31" s="2" t="s">
        <v>140</v>
      </c>
      <c r="H31" s="2" t="s">
        <v>141</v>
      </c>
      <c r="I31" s="2"/>
      <c r="J31" s="2"/>
      <c r="K31" s="2"/>
      <c r="L31" s="2"/>
      <c r="M31" s="2"/>
      <c r="N31" s="2"/>
      <c r="O31" s="2"/>
      <c r="P31" s="3" t="s">
        <v>36</v>
      </c>
      <c r="Q31" s="2" t="s">
        <v>27</v>
      </c>
      <c r="R31" s="2" t="s">
        <v>37</v>
      </c>
      <c r="S31" s="2" t="s">
        <v>161</v>
      </c>
    </row>
    <row r="33" customFormat="false" ht="15" hidden="false" customHeight="false" outlineLevel="0" collapsed="false">
      <c r="A33" s="7" t="s">
        <v>162</v>
      </c>
    </row>
    <row r="34" customFormat="false" ht="15" hidden="false" customHeight="false" outlineLevel="0" collapsed="false">
      <c r="A34" s="8" t="s">
        <v>163</v>
      </c>
      <c r="B34" s="9" t="n">
        <f aca="false">COUNTA(B2:B31)</f>
        <v>30</v>
      </c>
    </row>
    <row r="35" customFormat="false" ht="15" hidden="false" customHeight="false" outlineLevel="0" collapsed="false">
      <c r="A35" s="8" t="s">
        <v>67</v>
      </c>
      <c r="B35" s="9" t="n">
        <f aca="false">COUNTIF(P2:P31,"Verified")</f>
        <v>6</v>
      </c>
    </row>
    <row r="36" customFormat="false" ht="15" hidden="false" customHeight="false" outlineLevel="0" collapsed="false">
      <c r="A36" s="8" t="s">
        <v>55</v>
      </c>
      <c r="B36" s="9" t="n">
        <f aca="false">COUNTIF(P2:P31,"Partial")</f>
        <v>1</v>
      </c>
    </row>
    <row r="37" customFormat="false" ht="15" hidden="false" customHeight="false" outlineLevel="0" collapsed="false">
      <c r="A37" s="8" t="s">
        <v>164</v>
      </c>
      <c r="B37" s="9" t="n">
        <f aca="false">COUNTIF(P2:P31,"Source unavailable")</f>
        <v>20</v>
      </c>
    </row>
    <row r="38" customFormat="false" ht="15" hidden="false" customHeight="false" outlineLevel="0" collapsed="false">
      <c r="A38" s="8" t="s">
        <v>165</v>
      </c>
      <c r="B38" s="9" t="n">
        <f aca="false">COUNTIF(P2:P31,"Not found on source")</f>
        <v>3</v>
      </c>
    </row>
    <row r="39" customFormat="false" ht="15" hidden="false" customHeight="false" outlineLevel="0" collapsed="false">
      <c r="A39" s="8" t="s">
        <v>166</v>
      </c>
      <c r="B39" s="10" t="n">
        <f aca="false">(B35+B36)/B34</f>
        <v>0.233333333333333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2026-05-15T09:47:23Z</dcterms:created>
  <dc:creator>openpyxl</dc:creator>
  <dc:description/>
  <dc:language>en-US</dc:language>
  <cp:lastModifiedBy/>
  <dcterms:modified xsi:type="dcterms:W3CDTF">2026-05-15T09:47:23Z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