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5.xml" ContentType="application/vnd.openxmlformats-officedocument.spreadsheetml.comments+xml"/>
  <Override PartName="/xl/comments4.xml" ContentType="application/vnd.openxmlformats-officedocument.spreadsheetml.comments+xml"/>
  <Override PartName="/xl/comments14.xml" ContentType="application/vnd.openxmlformats-officedocument.spreadsheetml.comments+xml"/>
  <Override PartName="/xl/comments2.xml" ContentType="application/vnd.openxmlformats-officedocument.spreadsheetml.comments+xml"/>
  <Override PartName="/xl/comments12.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13.xml" ContentType="application/vnd.openxmlformats-officedocument.spreadsheetml.comments+xml"/>
  <Override PartName="/xl/drawings/vmlDrawing13.vml" ContentType="application/vnd.openxmlformats-officedocument.vmlDrawing"/>
  <Override PartName="/xl/drawings/vmlDrawing14.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9.xml" ContentType="application/vnd.openxmlformats-officedocument.spreadsheetml.comments+xml"/>
  <Override PartName="/xl/worksheets/_rels/sheet5.xml.rels" ContentType="application/vnd.openxmlformats-package.relationships+xml"/>
  <Override PartName="/xl/worksheets/_rels/sheet11.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1.xml" ContentType="application/vnd.openxmlformats-officedocument.spreadsheetml.comments+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Module 1 Engineering POD" sheetId="2" state="visible" r:id="rId4"/>
    <sheet name="Module 1 Cost Guidance" sheetId="3" state="visible" r:id="rId5"/>
    <sheet name="Module 2 Pre-Disaster Integrate" sheetId="4" state="visible" r:id="rId6"/>
    <sheet name="Module 2 Cost Guidance" sheetId="5" state="visible" r:id="rId7"/>
    <sheet name="Module 3 During-Disaster Integr" sheetId="6" state="visible" r:id="rId8"/>
    <sheet name="Module 3 Cost Guidance" sheetId="7" state="visible" r:id="rId9"/>
    <sheet name="Module 3.1 During-Disaster Hyb" sheetId="8" state="visible" r:id="rId10"/>
    <sheet name="Module 4 Scope Map" sheetId="9" state="visible" r:id="rId11"/>
    <sheet name="Module 4 Flood-Landslide POD" sheetId="10" state="visible" r:id="rId12"/>
    <sheet name="Module 4 Cost Guidance" sheetId="11" state="visible" r:id="rId13"/>
    <sheet name="Module 4 Hybrid Infra" sheetId="12" state="visible" r:id="rId14"/>
    <sheet name="Module 4 Commercial Recon" sheetId="13" state="visible" r:id="rId15"/>
    <sheet name="Cloud Infra Estimate" sheetId="14" state="visible" r:id="rId16"/>
    <sheet name="Assumptions" sheetId="15" state="visible" r:id="rId1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Input: USD-&gt;INR conversion rate, 85 (per source workbook).</t>
        </r>
      </text>
    </comment>
    <comment ref="E13" authorId="0">
      <text>
        <r>
          <rPr>
            <sz val="10"/>
            <rFont val="Arial"/>
            <family val="2"/>
          </rPr>
          <t xml:space="preserve">Sales Price Guidance = Total Billing from 'Module 3 During-Disaster Integr'.</t>
        </r>
      </text>
    </comment>
    <comment ref="E14" authorId="0">
      <text>
        <r>
          <rPr>
            <sz val="10"/>
            <rFont val="Arial"/>
            <family val="2"/>
          </rPr>
          <t xml:space="preserve">INPUT - Proposed Sales Price ($1,000,000). This is the cell every module's 'Budget Summary based on the Final Pricing (Cell#E14)' table references.</t>
        </r>
      </text>
    </comment>
    <comment ref="E17" authorId="0">
      <text>
        <r>
          <rPr>
            <sz val="10"/>
            <rFont val="Arial"/>
            <family val="2"/>
          </rPr>
          <t xml:space="preserve">Input taken from the source workbook. Note: with a Total Project Cost of $176,126 against $1,000,000 revenue the computed GM would be 82%, not the 90% shown in E23. Reproduced exactly as photographed.</t>
        </r>
      </text>
    </comment>
    <comment ref="E22" authorId="0">
      <text>
        <r>
          <rPr>
            <sz val="10"/>
            <rFont val="Arial"/>
            <family val="2"/>
          </rPr>
          <t xml:space="preserve">FTE Revenue - Offshore = Proposed Sales Price / Total FTE Man Months of Module 3 (221.4) = $4,517.</t>
        </r>
      </text>
    </comment>
    <comment ref="E23" authorId="0">
      <text>
        <r>
          <rPr>
            <sz val="10"/>
            <rFont val="Arial"/>
            <family val="2"/>
          </rPr>
          <t xml:space="preserve">Hardcoded at 90% as shown in the source workbook. It does not tie to (E16-E20)/E16, which evaluates to 82%.</t>
        </r>
      </text>
    </comment>
    <comment ref="K12" authorId="0">
      <text>
        <r>
          <rPr>
            <sz val="10"/>
            <rFont val="Arial"/>
            <family val="2"/>
          </rPr>
          <t xml:space="preserve">Scratch value present in the source sheet (column K); retained as-is.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35" authorId="0">
      <text>
        <r>
          <rPr>
            <sz val="10"/>
            <rFont val="Arial"/>
            <family val="2"/>
          </rPr>
          <t xml:space="preserve">Effort (PM) per capability is an input from the source workbook. Revenue = Effort / Total FTE Man Months (AZ26) x Proposed Sales Price ('Executive Summary'!E14).</t>
        </r>
      </text>
    </comment>
    <comment ref="BB30" authorId="0">
      <text>
        <r>
          <rPr>
            <sz val="10"/>
            <rFont val="Arial"/>
            <family val="2"/>
          </rPr>
          <t xml:space="preserve">Assumption: 168 billable hours per man-month (21 days x 8 hrs). Total Price = Total (mos) x Rate/Hr x 168. This reproduces every Total Price in the source workbook exactly.</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Labelled 25% in the source workbook, but the value shown is exactly 15% of the Resource Load Cost. Formula reproduces the photographed figure (=C7*0.15); the label is left as-is.</t>
        </r>
      </text>
    </comment>
    <comment ref="C11" authorId="0">
      <text>
        <r>
          <rPr>
            <sz val="10"/>
            <rFont val="Arial"/>
            <family val="2"/>
          </rPr>
          <t xml:space="preserve">INPUT: one-time module price ($491,366) taken directly from the source workbook. It is not a fixed percentage of the Total Development Cost above.</t>
        </r>
      </text>
    </comment>
    <comment ref="C13" authorId="0">
      <text>
        <r>
          <rPr>
            <sz val="10"/>
            <rFont val="Arial"/>
            <family val="2"/>
          </rPr>
          <t xml:space="preserve">Annual Upkeep = 27.5% of the one-time module price, derived from the photographed figures. Each module uses a different rate (M1 27.5%, M2 24%, M3 18.5%).</t>
        </r>
      </text>
    </comment>
    <comment ref="D25" authorId="0">
      <text>
        <r>
          <rPr>
            <sz val="10"/>
            <rFont val="Arial"/>
            <family val="2"/>
          </rPr>
          <t xml:space="preserve">Year-1 upkeep is charged at half the annual rate (go-live part-way through year 1), per the source workbook.</t>
        </r>
      </text>
    </comment>
    <comment ref="G26" authorId="0">
      <text>
        <r>
          <rPr>
            <sz val="10"/>
            <rFont val="Arial"/>
            <family val="2"/>
          </rPr>
          <t xml:space="preserve">SOURCE QUIRK, reproduced deliberately: in the original workbook this Total-column cell equals 27.5% of the one-time fee, not SUM(D26:F26). The same 27.5% is used on all three modules (it matches Module 1's upkeep rate). Correct row sum would be =SUM(D26:F26).</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D35" authorId="0">
      <text>
        <r>
          <rPr>
            <sz val="10"/>
            <rFont val="Arial"/>
            <family val="2"/>
          </rPr>
          <t xml:space="preserve">Effort (PM) per capability is an input from the source workbook. Revenue = Effort / Total FTE Man Months (AZ26) x Proposed Sales Price ('Executive Summary'!E14).</t>
        </r>
      </text>
    </comment>
    <comment ref="BB30" authorId="0">
      <text>
        <r>
          <rPr>
            <sz val="10"/>
            <rFont val="Arial"/>
            <family val="2"/>
          </rPr>
          <t xml:space="preserve">Assumption: 168 billable hours per man-month (21 days x 8 hrs). Total Price = Total (mos) x Rate/Hr x 168. This reproduces every Total Price in the source workbook exactly.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Labelled 25% in the source workbook, but the value shown is exactly 15% of the Resource Load Cost. Formula reproduces the photographed figure (=C7*0.15); the label is left as-is.</t>
        </r>
      </text>
    </comment>
    <comment ref="C11" authorId="0">
      <text>
        <r>
          <rPr>
            <sz val="10"/>
            <rFont val="Arial"/>
            <family val="2"/>
          </rPr>
          <t xml:space="preserve">INPUT: one-time module price ($807,024) taken directly from the source workbook. It is not a fixed percentage of the Total Development Cost above.</t>
        </r>
      </text>
    </comment>
    <comment ref="C13" authorId="0">
      <text>
        <r>
          <rPr>
            <sz val="10"/>
            <rFont val="Arial"/>
            <family val="2"/>
          </rPr>
          <t xml:space="preserve">Annual Upkeep = 24% of the one-time module price, derived from the photographed figures. Each module uses a different rate (M1 27.5%, M2 24%, M3 18.5%).</t>
        </r>
      </text>
    </comment>
    <comment ref="D25" authorId="0">
      <text>
        <r>
          <rPr>
            <sz val="10"/>
            <rFont val="Arial"/>
            <family val="2"/>
          </rPr>
          <t xml:space="preserve">Year-1 upkeep is charged at half the annual rate (go-live part-way through year 1), per the source workbook.</t>
        </r>
      </text>
    </comment>
    <comment ref="G26" authorId="0">
      <text>
        <r>
          <rPr>
            <sz val="10"/>
            <rFont val="Arial"/>
            <family val="2"/>
          </rPr>
          <t xml:space="preserve">SOURCE QUIRK, reproduced deliberately: in the original workbook this Total-column cell equals 27.5% of the one-time fee, not SUM(D26:F26). The same 27.5% is used on all three modules (it matches Module 1's upkeep rate). Correct row sum would be =SUM(D26:F26).</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D35" authorId="0">
      <text>
        <r>
          <rPr>
            <sz val="10"/>
            <rFont val="Arial"/>
            <family val="2"/>
          </rPr>
          <t xml:space="preserve">Effort (PM) per capability is an input from the source workbook. Revenue = Effort / Total FTE Man Months (AZ26) x Proposed Sales Price ('Executive Summary'!E14).</t>
        </r>
      </text>
    </comment>
    <comment ref="BB30" authorId="0">
      <text>
        <r>
          <rPr>
            <sz val="10"/>
            <rFont val="Arial"/>
            <family val="2"/>
          </rPr>
          <t xml:space="preserve">Assumption: 168 billable hours per man-month (21 days x 8 hrs). Total Price = Total (mos) x Rate/Hr x 168. This reproduces every Total Price in the source workbook exactly.</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Labelled 25% in the source workbook, but the value shown is exactly 15% of the Resource Load Cost. Formula reproduces the photographed figure (=C7*0.15); the label is left as-is.</t>
        </r>
      </text>
    </comment>
    <comment ref="C11" authorId="0">
      <text>
        <r>
          <rPr>
            <sz val="10"/>
            <rFont val="Arial"/>
            <family val="2"/>
          </rPr>
          <t xml:space="preserve">INPUT: one-time module price ($1,539,881) taken directly from the source workbook. It is not a fixed percentage of the Total Development Cost above.</t>
        </r>
      </text>
    </comment>
    <comment ref="C13" authorId="0">
      <text>
        <r>
          <rPr>
            <sz val="10"/>
            <rFont val="Arial"/>
            <family val="2"/>
          </rPr>
          <t xml:space="preserve">Annual Upkeep = 18.5% of the one-time module price, derived from the photographed figures. Each module uses a different rate (M1 27.5%, M2 24%, M3 18.5%).</t>
        </r>
      </text>
    </comment>
    <comment ref="D25" authorId="0">
      <text>
        <r>
          <rPr>
            <sz val="10"/>
            <rFont val="Arial"/>
            <family val="2"/>
          </rPr>
          <t xml:space="preserve">Year-1 upkeep is charged at half the annual rate (go-live part-way through year 1), per the source workbook.</t>
        </r>
      </text>
    </comment>
    <comment ref="D27" authorId="0">
      <text>
        <r>
          <rPr>
            <sz val="10"/>
            <rFont val="Arial"/>
            <family val="2"/>
          </rPr>
          <t xml:space="preserve">SOURCE QUIRK, reproduced deliberately: the Final Cost Structure uses the Pre-Disaster AWS figure ($353,500), while the AWS Cloud Cost line in C16 above shows the During-Disaster figure ($463,986).</t>
        </r>
      </text>
    </comment>
    <comment ref="G26" authorId="0">
      <text>
        <r>
          <rPr>
            <sz val="10"/>
            <rFont val="Arial"/>
            <family val="2"/>
          </rPr>
          <t xml:space="preserve">SOURCE QUIRK, reproduced deliberately: in the original workbook this Total-column cell equals 27.5% of the one-time fee, not SUM(D26:F26). The same 27.5% is used on all three modules (it matches Module 1's upkeep rate). Correct row sum would be =SUM(D26:F26).</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D35" authorId="0">
      <text>
        <r>
          <rPr>
            <sz val="10"/>
            <rFont val="Arial"/>
            <family val="2"/>
          </rPr>
          <t xml:space="preserve">Effort (PM) per capability is an input from the source workbook. Revenue = Effort / Total FTE Man Months (AZ26) x Proposed Sales Price ('Executive Summary'!E14).</t>
        </r>
      </text>
    </comment>
    <comment ref="BB30" authorId="0">
      <text>
        <r>
          <rPr>
            <sz val="10"/>
            <rFont val="Arial"/>
            <family val="2"/>
          </rPr>
          <t xml:space="preserve">Assumption: 168 billable hours per man-month (21 days x 8 hrs). Total Price = Total (mos) x Rate/Hr x 168. This reproduces every Total Price in the source workbook exactly.</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E6" authorId="0">
      <text>
        <r>
          <rPr>
            <sz val="10"/>
            <rFont val="Arial"/>
            <family val="2"/>
          </rPr>
          <t xml:space="preserve">Effort allocation is the estimator's split of the 191.6 FTE-month resource load plan across the revised scope. It must always sum to the plan total in 'Module 4 Flood-Landslide POD'!AZ26.</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18" authorId="0">
      <text>
        <r>
          <rPr>
            <sz val="10"/>
            <rFont val="Arial"/>
            <family val="2"/>
          </rPr>
          <t xml:space="preserve">'Lead Data Scientist' covers the hydrology and geotechnical modelling leads (WFLOW/HEC-RAS/SFINCS and SINMAP/TRIGRS/RAMMS). 'Data Scientist' covers the flood modellers, landslide modellers and the vulnerability / damage-classification ML stream. Titles kept identical to Modules 1-3.1 so the rate card and Budget Summary logic stay consistent.</t>
        </r>
      </text>
    </comment>
    <comment ref="D35" authorId="0">
      <text>
        <r>
          <rPr>
            <sz val="10"/>
            <rFont val="Arial"/>
            <family val="2"/>
          </rPr>
          <t xml:space="preserve">Capability split of the 191.6 FTE-month plan. Technology is the largest bucket because the two physics-modelling chains, dissemination layer and Command Centre are all engineering-led. Sums to AZ26.</t>
        </r>
      </text>
    </comment>
    <comment ref="BB30" authorId="0">
      <text>
        <r>
          <rPr>
            <sz val="10"/>
            <rFont val="Arial"/>
            <family val="2"/>
          </rPr>
          <t xml:space="preserve">Assumption: 168 billable hours per man-month (21 days x 8 hrs), identical to Modules 1-3.1.</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C24" authorId="0">
      <text>
        <r>
          <rPr>
            <sz val="10"/>
            <rFont val="Arial"/>
            <family val="2"/>
          </rPr>
          <t xml:space="preserve">Year 1 S&amp;M is nil: hypercare and warranty sit inside the one-time build fee, matching Section 7 of the proposal where Year 1 S&amp;M shows a dash.</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C21" authorId="0">
      <text>
        <r>
          <rPr>
            <sz val="10"/>
            <rFont val="Arial"/>
            <family val="2"/>
          </rPr>
          <t xml:space="preserve">COMMERCIAL RISK: the BoQ table sits directly above the 'IT Infrastructure' line in Section 7 of the proposal. Unless exclusion is stated on the same page, BNPB will read the recurring infrastructure fee as covering these servers. Section 8 assigns hardware setup to the Paques Team but never says the hardware itself is out of Straive's price.</t>
        </r>
      </text>
    </comment>
    <comment ref="F7" authorId="0">
      <text>
        <r>
          <rPr>
            <sz val="10"/>
            <rFont val="Arial"/>
            <family val="2"/>
          </rPr>
          <t xml:space="preserve">Line-item cloud costs are the estimator's sizing for a Jakarta-region burst layer supporting two hazard pipelines. They are inputs, not quotes - confirm against a live cloud calculator before the price is committed.</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D6" authorId="0">
      <text>
        <r>
          <rPr>
            <sz val="10"/>
            <rFont val="Arial"/>
            <family val="2"/>
          </rPr>
          <t xml:space="preserve">INPUT - published Option 2 pricing, Section 7 Commercial Terms of the Straive revised proposal. Update here if the offer price is renegotiated.</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E4" authorId="0">
      <text>
        <r>
          <rPr>
            <sz val="10"/>
            <rFont val="Arial"/>
            <family val="2"/>
          </rPr>
          <t xml:space="preserve">All per-service annual costs are inputs quoted from the source workbook (AWS Asia Pacific / Jakarta region pricing).</t>
        </r>
      </text>
    </comment>
  </commentList>
</comments>
</file>

<file path=xl/sharedStrings.xml><?xml version="1.0" encoding="utf-8"?>
<sst xmlns="http://schemas.openxmlformats.org/spreadsheetml/2006/main" count="943" uniqueCount="353">
  <si>
    <t xml:space="preserve">USD Conversion to INR</t>
  </si>
  <si>
    <t xml:space="preserve">EXECUTIVE SUMMARY</t>
  </si>
  <si>
    <t xml:space="preserve">Ownership Details</t>
  </si>
  <si>
    <t xml:space="preserve">Project Details</t>
  </si>
  <si>
    <t xml:space="preserve">Geography</t>
  </si>
  <si>
    <t xml:space="preserve">APAC</t>
  </si>
  <si>
    <t xml:space="preserve">Project ID</t>
  </si>
  <si>
    <t xml:space="preserve">SBU</t>
  </si>
  <si>
    <t xml:space="preserve">Project Name</t>
  </si>
  <si>
    <t xml:space="preserve">Climate &amp; Disaster Resilience</t>
  </si>
  <si>
    <t xml:space="preserve">Customer</t>
  </si>
  <si>
    <t xml:space="preserve">Integra</t>
  </si>
  <si>
    <t xml:space="preserve">Win Classification</t>
  </si>
  <si>
    <t xml:space="preserve">New Win</t>
  </si>
  <si>
    <t xml:space="preserve">Customer Sub-Business</t>
  </si>
  <si>
    <t xml:space="preserve">Billing Model</t>
  </si>
  <si>
    <t xml:space="preserve">SBU Head</t>
  </si>
  <si>
    <t xml:space="preserve">Project Type</t>
  </si>
  <si>
    <t xml:space="preserve">AI ML</t>
  </si>
  <si>
    <t xml:space="preserve">Account Executive (Sales)</t>
  </si>
  <si>
    <t xml:space="preserve">Project Duration</t>
  </si>
  <si>
    <t xml:space="preserve">12 Months</t>
  </si>
  <si>
    <t xml:space="preserve">Account Manager</t>
  </si>
  <si>
    <t xml:space="preserve">Delivery Manager</t>
  </si>
  <si>
    <t xml:space="preserve">Financial Summary</t>
  </si>
  <si>
    <t xml:space="preserve">Comments</t>
  </si>
  <si>
    <t xml:space="preserve">ROI Created &amp; Included in Proposal</t>
  </si>
  <si>
    <t xml:space="preserve">YES</t>
  </si>
  <si>
    <t xml:space="preserve">&lt;Use this section to share additional details about the account, strategic importance, assuptions etc.&gt;</t>
  </si>
  <si>
    <t xml:space="preserve">Services - Sales Price Guidance</t>
  </si>
  <si>
    <t xml:space="preserve">Services  - Proposed Sales Price</t>
  </si>
  <si>
    <t xml:space="preserve">License Sales</t>
  </si>
  <si>
    <t xml:space="preserve">Total Sales Price</t>
  </si>
  <si>
    <t xml:space="preserve">Employee Salary Cost</t>
  </si>
  <si>
    <t xml:space="preserve">Guidance
Sales Price Guidance is as per the FY23 Sales Planning Sheet.
Cost is as per Finance average costs. GM Guidance is 60%
Offshore FTE Revenue Guidance is $6500</t>
  </si>
  <si>
    <t xml:space="preserve">Mgmt &amp; Utilization Overheads (10%)</t>
  </si>
  <si>
    <t xml:space="preserve">Non-Billable Travel Cost</t>
  </si>
  <si>
    <t xml:space="preserve">Total Project Cost</t>
  </si>
  <si>
    <t xml:space="preserve">FTE Revenue - Onsite</t>
  </si>
  <si>
    <t xml:space="preserve">FTE Revenue - Offshore</t>
  </si>
  <si>
    <t xml:space="preserve">Gross Margin%</t>
  </si>
  <si>
    <t xml:space="preserve">Budget Gross Margin%</t>
  </si>
  <si>
    <t xml:space="preserve">Approval Needed</t>
  </si>
  <si>
    <t xml:space="preserve">Reason: Approval is needed if ROI isn't created OR Sale Price/margin are below guidance</t>
  </si>
  <si>
    <t xml:space="preserve">Activity / Month</t>
  </si>
  <si>
    <t xml:space="preserve">Month-1</t>
  </si>
  <si>
    <t xml:space="preserve">Month-2</t>
  </si>
  <si>
    <t xml:space="preserve">Month-3</t>
  </si>
  <si>
    <t xml:space="preserve">Month-4</t>
  </si>
  <si>
    <t xml:space="preserve">Month-5</t>
  </si>
  <si>
    <t xml:space="preserve">Month-6</t>
  </si>
  <si>
    <t xml:space="preserve">Month-7</t>
  </si>
  <si>
    <t xml:space="preserve">Month-8</t>
  </si>
  <si>
    <t xml:space="preserve">Month-9</t>
  </si>
  <si>
    <t xml:space="preserve">Month-10</t>
  </si>
  <si>
    <t xml:space="preserve">Month-11</t>
  </si>
  <si>
    <t xml:space="preserve">Month-12</t>
  </si>
  <si>
    <t xml:space="preserve">Consulting Phase + Data Access</t>
  </si>
  <si>
    <t xml:space="preserve">Data Ingestion Methodology</t>
  </si>
  <si>
    <t xml:space="preserve">Architecture Design Iterations</t>
  </si>
  <si>
    <t xml:space="preserve">Pipeline &amp; Implementation &amp; Architecture</t>
  </si>
  <si>
    <t xml:space="preserve">Architecture Hardening</t>
  </si>
  <si>
    <t xml:space="preserve">QA, QC, Integration &amp; Testing</t>
  </si>
  <si>
    <t xml:space="preserve">Role / Month</t>
  </si>
  <si>
    <t xml:space="preserve">ON/OFF</t>
  </si>
  <si>
    <t xml:space="preserve">Total (mos)</t>
  </si>
  <si>
    <t xml:space="preserve">Rate/Hr</t>
  </si>
  <si>
    <t xml:space="preserve">Total Price</t>
  </si>
  <si>
    <t xml:space="preserve">Offshore</t>
  </si>
  <si>
    <t xml:space="preserve">Project Manager</t>
  </si>
  <si>
    <t xml:space="preserve">Data Consultant</t>
  </si>
  <si>
    <t xml:space="preserve">Lead Data Consultant</t>
  </si>
  <si>
    <t xml:space="preserve">UX Design Lead</t>
  </si>
  <si>
    <t xml:space="preserve">UX Designer</t>
  </si>
  <si>
    <t xml:space="preserve">Lead Data Scientist</t>
  </si>
  <si>
    <t xml:space="preserve">Data Scientist</t>
  </si>
  <si>
    <t xml:space="preserve">Technical Lead</t>
  </si>
  <si>
    <t xml:space="preserve">Senior Developer</t>
  </si>
  <si>
    <t xml:space="preserve">Developer</t>
  </si>
  <si>
    <t xml:space="preserve">QA Tester</t>
  </si>
  <si>
    <t xml:space="preserve">Total FTE Man Months</t>
  </si>
  <si>
    <t xml:space="preserve">*Geography is taken directly from Executive Summary sheet. Please update it in Executive Summary sheet to change Geo.</t>
  </si>
  <si>
    <t xml:space="preserve">Total Billing in USD</t>
  </si>
  <si>
    <t xml:space="preserve">Total Billing in INR</t>
  </si>
  <si>
    <t xml:space="preserve">Billable Hours per Month (assumption)</t>
  </si>
  <si>
    <t xml:space="preserve">Budget Summary based on the Final Pricing (Cell#E14 in Executive Summary Tab)</t>
  </si>
  <si>
    <t xml:space="preserve">Budget Parameter</t>
  </si>
  <si>
    <t xml:space="preserve">Consulting</t>
  </si>
  <si>
    <t xml:space="preserve">Design</t>
  </si>
  <si>
    <t xml:space="preserve">Analytics</t>
  </si>
  <si>
    <t xml:space="preserve">Technology</t>
  </si>
  <si>
    <t xml:space="preserve">QA</t>
  </si>
  <si>
    <t xml:space="preserve">Del EX</t>
  </si>
  <si>
    <t xml:space="preserve">Effort (PM)</t>
  </si>
  <si>
    <t xml:space="preserve">Revenue (USD)</t>
  </si>
  <si>
    <t xml:space="preserve">Budget Break-up by Month</t>
  </si>
  <si>
    <t xml:space="preserve">Total</t>
  </si>
  <si>
    <t xml:space="preserve">Balance</t>
  </si>
  <si>
    <t xml:space="preserve">Budget</t>
  </si>
  <si>
    <t xml:space="preserve">Accrual</t>
  </si>
  <si>
    <t xml:space="preserve">Invoice</t>
  </si>
  <si>
    <t xml:space="preserve">Module 1</t>
  </si>
  <si>
    <t xml:space="preserve">Line Item</t>
  </si>
  <si>
    <t xml:space="preserve">Cost</t>
  </si>
  <si>
    <t xml:space="preserve">#FTEs</t>
  </si>
  <si>
    <t xml:space="preserve">NA</t>
  </si>
  <si>
    <t xml:space="preserve">Resource Load Cost (as per resource load plan)</t>
  </si>
  <si>
    <t xml:space="preserve">SG &amp; A, Project Risk Factors &amp; Other Overheads etc. (25%)</t>
  </si>
  <si>
    <t xml:space="preserve">Total Development Cost (sales guidance)</t>
  </si>
  <si>
    <t xml:space="preserve">Integrated Data Engineering Module for all the 3 Hazards</t>
  </si>
  <si>
    <t xml:space="preserve">Annual Upkeep &amp; Maintenance</t>
  </si>
  <si>
    <t xml:space="preserve">AWS Cloud Cost</t>
  </si>
  <si>
    <t xml:space="preserve">Final AWS Cloud Cost (rounded off for minor variations)</t>
  </si>
  <si>
    <t xml:space="preserve">Final Cost Structure</t>
  </si>
  <si>
    <t xml:space="preserve">Category</t>
  </si>
  <si>
    <t xml:space="preserve">Sub-Category</t>
  </si>
  <si>
    <t xml:space="preserve">Year-1</t>
  </si>
  <si>
    <t xml:space="preserve">Year-2</t>
  </si>
  <si>
    <t xml:space="preserve">Year-3</t>
  </si>
  <si>
    <t xml:space="preserve">Integrated Pre-Disaster Module for all the 3 Hazards</t>
  </si>
  <si>
    <t xml:space="preserve">One-time Development (professional fee)</t>
  </si>
  <si>
    <t xml:space="preserve">Cloud Infrastructure Costs</t>
  </si>
  <si>
    <t xml:space="preserve">AWS Costs</t>
  </si>
  <si>
    <t xml:space="preserve">TOTAL</t>
  </si>
  <si>
    <t xml:space="preserve">Requirements and project planning</t>
  </si>
  <si>
    <t xml:space="preserve">Data and methodology review</t>
  </si>
  <si>
    <t xml:space="preserve">Workshops with stakeholders</t>
  </si>
  <si>
    <t xml:space="preserve">Development</t>
  </si>
  <si>
    <t xml:space="preserve">Integration Development (APIs)</t>
  </si>
  <si>
    <t xml:space="preserve">Testing (Ground-Truth Data or On-Ground)</t>
  </si>
  <si>
    <t xml:space="preserve">UAT and Go-Live</t>
  </si>
  <si>
    <t xml:space="preserve">Module 2</t>
  </si>
  <si>
    <t xml:space="preserve">Pre-Disaster Integrated POD for all the 3 Hazards</t>
  </si>
  <si>
    <t xml:space="preserve">DevOps Engineer</t>
  </si>
  <si>
    <t xml:space="preserve">Module 3</t>
  </si>
  <si>
    <t xml:space="preserve">During-Disaster Integrated POD for all the 3 Hazards</t>
  </si>
  <si>
    <t xml:space="preserve">MODULE 4  |  Revised 2-Hazard Scope (Flood + Landslide)  -  Scope to Effort Map</t>
  </si>
  <si>
    <t xml:space="preserve">Source: Straive 'Commercial Proposal: National Multi-Hazard Disaster Monitoring and Decision Support System', Revised Scope of Work. Wildfire analysis removed per client mail of 31 Jul 2026 (Ahmad Yokasano, Paques).</t>
  </si>
  <si>
    <t xml:space="preserve">Sec</t>
  </si>
  <si>
    <t xml:space="preserve">Scope Area</t>
  </si>
  <si>
    <t xml:space="preserve">What is being built</t>
  </si>
  <si>
    <t xml:space="preserve">Effort (FTE-mo)</t>
  </si>
  <si>
    <t xml:space="preserve">% of Build</t>
  </si>
  <si>
    <t xml:space="preserve">Value (USD)</t>
  </si>
  <si>
    <t xml:space="preserve">1</t>
  </si>
  <si>
    <t xml:space="preserve">Flood Hazard Monitoring &amp; Early Action Pipeline</t>
  </si>
  <si>
    <t xml:space="preserve">WFLOW_sbm distributed hydrology; HEC-HMS urban flash; HEC-RAS 2D + LISFLOOD-FP inundation; SFINCS river-tide backwater; Siaga trigger logic; hydrograph / WSE / velocity / exposure outputs</t>
  </si>
  <si>
    <t xml:space="preserve">2</t>
  </si>
  <si>
    <t xml:space="preserve">Landslide Hazard Monitoring &amp; Early Warning Pipeline</t>
  </si>
  <si>
    <t xml:space="preserve">SINMAP/SHALSTAB static FS; TRIGRS/Scoops3D transient pore-water; RAMMS/FLO-2D runout; 4-parameter trigger chain; susceptibility + hourly FS grids + mudflow footprint</t>
  </si>
  <si>
    <t xml:space="preserve">3</t>
  </si>
  <si>
    <t xml:space="preserve">Integrated Analytics, Vulnerability Assessment &amp; Network Routing</t>
  </si>
  <si>
    <t xml:space="preserve">MCDM + Random Forest / Gradient Boosting vulnerability indexing; NetworkX regency graph extraction (OSM + PUPR, 50 regencies); Dijkstra / A* / RL evacuation routing</t>
  </si>
  <si>
    <t xml:space="preserve">4</t>
  </si>
  <si>
    <t xml:space="preserve">Operational Resource &amp; Recovery Estimation Modules</t>
  </si>
  <si>
    <t xml:space="preserve">Personnel needs; relief materials; emergency fund estimation; post-disaster recovery / damage classification on satellite &amp; drone imagery</t>
  </si>
  <si>
    <t xml:space="preserve">5</t>
  </si>
  <si>
    <t xml:space="preserve">Architectural Data Ingestion &amp; Dissemination Integrity</t>
  </si>
  <si>
    <t xml:space="preserve">Ingestion architecture; latency SLA engineering; Pusdatinkom gateways; outbound SMS / inaRISK push; IVR voicebot + WhatsApp/Telegram feedback loop</t>
  </si>
  <si>
    <t xml:space="preserve">6</t>
  </si>
  <si>
    <t xml:space="preserve">Hybrid Infrastructure, Deployment &amp; SLA Hardening</t>
  </si>
  <si>
    <t xml:space="preserve">On-prem BNPB DC deployment; Jakarta-region cloud burst layer; CI/CD; AES-256 / TLS 1.2+; 99.9% availability engineering</t>
  </si>
  <si>
    <t xml:space="preserve">-</t>
  </si>
  <si>
    <t xml:space="preserve">Command Centre (Pillar 1) Visualisation &amp; UX</t>
  </si>
  <si>
    <t xml:space="preserve">Read-only maps, deployment tables, cost charts, hazard overlays, UX research and design system</t>
  </si>
  <si>
    <t xml:space="preserve">Programme Management, QA &amp; UAT</t>
  </si>
  <si>
    <t xml:space="preserve">Account and project management, ground-truth validation against KGE &gt;= 0.70 and IoU &gt;= 0.60 quality gates, UAT and go-live</t>
  </si>
  <si>
    <t xml:space="preserve">Total Build Effort</t>
  </si>
  <si>
    <t xml:space="preserve">Note: value shown is Resource Load Cost (bill value at $40/hr x 168 hrs), before SG&amp;A and before any discount. See 'Module 4 Cost Guidance'.</t>
  </si>
  <si>
    <t xml:space="preserve">Requirements, Data Access &amp; Discovery</t>
  </si>
  <si>
    <t xml:space="preserve">Data Ingestion &amp; Lakehouse Build (On-Prem)</t>
  </si>
  <si>
    <t xml:space="preserve">Flood Modelling Chain Development</t>
  </si>
  <si>
    <t xml:space="preserve">Landslide Modelling Chain Development</t>
  </si>
  <si>
    <t xml:space="preserve">Integrated Analytics, Vulnerability &amp; Routing</t>
  </si>
  <si>
    <t xml:space="preserve">Resource/Recovery Estimation &amp; Dissemination</t>
  </si>
  <si>
    <t xml:space="preserve">Ground-Truth Validation &amp; SLA Testing</t>
  </si>
  <si>
    <t xml:space="preserve">UAT, Hybrid Deployment &amp; Go-Live</t>
  </si>
  <si>
    <t xml:space="preserve">MODULE 4  |  Cost Guidance  -  Integrated Flood &amp; Landslide (2 Hazards)</t>
  </si>
  <si>
    <t xml:space="preserve">#FTEs (peak / average)</t>
  </si>
  <si>
    <t xml:space="preserve">Average FTE across the 12-month build</t>
  </si>
  <si>
    <t xml:space="preserve">191.6 FTE-months @ $40/hr x 168 hrs</t>
  </si>
  <si>
    <t xml:space="preserve">SG &amp; A, Project Risk Factors &amp; Other Overheads etc. (15%)</t>
  </si>
  <si>
    <t xml:space="preserve">15% - the rate actually applied in Modules 1-3</t>
  </si>
  <si>
    <t xml:space="preserve">Sales-guidance price before any discount</t>
  </si>
  <si>
    <t xml:space="preserve">Discount applied to reach offer price</t>
  </si>
  <si>
    <t xml:space="preserve">10% - the convention used on Module 3</t>
  </si>
  <si>
    <t xml:space="preserve">Integrated Flood &amp; Landslide Module (2 Hazards) - one-time</t>
  </si>
  <si>
    <t xml:space="preserve">Bottom-up one-time professional fee</t>
  </si>
  <si>
    <t xml:space="preserve">Support &amp; Maintenance Pod  (24x5 shared coverage, annual)</t>
  </si>
  <si>
    <t xml:space="preserve">Role</t>
  </si>
  <si>
    <t xml:space="preserve">FTE</t>
  </si>
  <si>
    <t xml:space="preserve">Months</t>
  </si>
  <si>
    <t xml:space="preserve">FTE-Months</t>
  </si>
  <si>
    <t xml:space="preserve">Scope of cover</t>
  </si>
  <si>
    <t xml:space="preserve">Support / Platform Lead</t>
  </si>
  <si>
    <t xml:space="preserve">Single point of accountability, SLA reporting, release governance</t>
  </si>
  <si>
    <t xml:space="preserve">DevOps / SRE (24x5 shared)</t>
  </si>
  <si>
    <t xml:space="preserve">Availability &gt;= 99.9%, latency SLA assurance, incident response, patching</t>
  </si>
  <si>
    <t xml:space="preserve">Data Engineer</t>
  </si>
  <si>
    <t xml:space="preserve">Ingestion pipeline break-fix, feed changes (BMKG / LAPAN / IoT), data quality</t>
  </si>
  <si>
    <t xml:space="preserve">Model drift monitoring, threshold recalibration (I-D curves, FS), seasonal retraining</t>
  </si>
  <si>
    <t xml:space="preserve">Application Developer</t>
  </si>
  <si>
    <t xml:space="preserve">Command Centre and dissemination-layer break-fix and minor enhancements</t>
  </si>
  <si>
    <t xml:space="preserve">QA Engineer</t>
  </si>
  <si>
    <t xml:space="preserve">Regression testing on releases, SLA and output quality verification</t>
  </si>
  <si>
    <t xml:space="preserve">Support Pod Total</t>
  </si>
  <si>
    <t xml:space="preserve">S&amp;M Resource Load Cost (annual)</t>
  </si>
  <si>
    <t xml:space="preserve">SG &amp; A and overheads (15%)</t>
  </si>
  <si>
    <t xml:space="preserve">S&amp;M sales guidance (annual)</t>
  </si>
  <si>
    <t xml:space="preserve">Annual Support &amp; Maintenance - offer price</t>
  </si>
  <si>
    <t xml:space="preserve">Hybrid Infrastructure (annual, recurring)</t>
  </si>
  <si>
    <t xml:space="preserve">Jakarta public cloud only - on-prem BoQ excluded</t>
  </si>
  <si>
    <t xml:space="preserve">Final Cost Structure  (bottom-up)</t>
  </si>
  <si>
    <t xml:space="preserve">Integrated Flood &amp; Landslide Module (2 Hazards)</t>
  </si>
  <si>
    <t xml:space="preserve">Annual Support &amp; Maintenance</t>
  </si>
  <si>
    <t xml:space="preserve">Hybrid Infrastructure Costs</t>
  </si>
  <si>
    <t xml:space="preserve">Hybrid Infrastructure (recurring)</t>
  </si>
  <si>
    <t xml:space="preserve">MODULE 4  |  Hybrid Infrastructure Estimate (Annual, Recurring)</t>
  </si>
  <si>
    <t xml:space="preserve">Section 6 of the revised proposal moves the deployment from pure AWS to a Hybrid-Cloud architecture: on-premise BNPB Data Centre plus a Jakarta-region public cloud burst layer. Only the cloud layer sits in Straive's recurring price.</t>
  </si>
  <si>
    <t xml:space="preserve">A.  Jakarta-Region Public Cloud  -  IN Straive recurring price</t>
  </si>
  <si>
    <t xml:space="preserve">Layer</t>
  </si>
  <si>
    <t xml:space="preserve">Component</t>
  </si>
  <si>
    <t xml:space="preserve">Deployment</t>
  </si>
  <si>
    <t xml:space="preserve">Purpose</t>
  </si>
  <si>
    <t xml:space="preserve">Annual Cost (USD)</t>
  </si>
  <si>
    <t xml:space="preserve">Compute</t>
  </si>
  <si>
    <t xml:space="preserve">Elastic GPU compute (AI/ML training &amp; burst inference)</t>
  </si>
  <si>
    <t xml:space="preserve">Jakarta Public Cloud</t>
  </si>
  <si>
    <t xml:space="preserve">Seasonal burst capacity during peak hazard events</t>
  </si>
  <si>
    <t xml:space="preserve">Managed Kubernetes / container orchestration</t>
  </si>
  <si>
    <t xml:space="preserve">Burst inference and modelling-chain orchestration</t>
  </si>
  <si>
    <t xml:space="preserve">Storage</t>
  </si>
  <si>
    <t xml:space="preserve">Object storage extension &amp; archive tier</t>
  </si>
  <si>
    <t xml:space="preserve">Overflow beyond on-prem 241 TB, long-term hazard archive</t>
  </si>
  <si>
    <t xml:space="preserve">Data</t>
  </si>
  <si>
    <t xml:space="preserve">Geospatial data egress &amp; processing</t>
  </si>
  <si>
    <t xml:space="preserve">Sentinel-1 SAR, GLO-30/FABDEM, WorldPop, OSM pulls</t>
  </si>
  <si>
    <t xml:space="preserve">Streaming</t>
  </si>
  <si>
    <t xml:space="preserve">Streaming &amp; IoT telemetry ingest</t>
  </si>
  <si>
    <t xml:space="preserve">Peak-event sensor, radar and rain-gauge throughput</t>
  </si>
  <si>
    <t xml:space="preserve">DevOps</t>
  </si>
  <si>
    <t xml:space="preserve">Monitoring, logging and tracing</t>
  </si>
  <si>
    <t xml:space="preserve">Assurance of &lt;= 20 min end-to-end EAS latency SLA</t>
  </si>
  <si>
    <t xml:space="preserve">Security</t>
  </si>
  <si>
    <t xml:space="preserve">Secrets manager / KMS / security tooling</t>
  </si>
  <si>
    <t xml:space="preserve">AES-256 at rest, TLS 1.2+ in transit, key custody</t>
  </si>
  <si>
    <t xml:space="preserve">Networking</t>
  </si>
  <si>
    <t xml:space="preserve">API gateway, load balancer and CDN</t>
  </si>
  <si>
    <t xml:space="preserve">Dissemination APIs, webhooks, Command Centre delivery</t>
  </si>
  <si>
    <t xml:space="preserve">Resilience</t>
  </si>
  <si>
    <t xml:space="preserve">Backup and DR replication</t>
  </si>
  <si>
    <t xml:space="preserve">Off-site replication of on-prem data lake</t>
  </si>
  <si>
    <t xml:space="preserve">On-prem to cloud interconnect</t>
  </si>
  <si>
    <t xml:space="preserve">Hybrid</t>
  </si>
  <si>
    <t xml:space="preserve">Dedicated link between BNPB DC and Jakarta region</t>
  </si>
  <si>
    <t xml:space="preserve">Total Hybrid Infrastructure (Annual, Recurring)</t>
  </si>
  <si>
    <t xml:space="preserve">B.  On-Premise BNPB Data Centre  -  EXCLUDED, client-supplied (BoQ reference)</t>
  </si>
  <si>
    <t xml:space="preserve">Module / Component</t>
  </si>
  <si>
    <t xml:space="preserve">Specification &amp; Quantity Details</t>
  </si>
  <si>
    <t xml:space="preserve">Straive Cost</t>
  </si>
  <si>
    <t xml:space="preserve">Ingestion</t>
  </si>
  <si>
    <t xml:space="preserve">5 servers sized to handle ~1.7 TB/day</t>
  </si>
  <si>
    <t xml:space="preserve">~241 TB NAS/SAN with 90-day retention and 30% buffer</t>
  </si>
  <si>
    <t xml:space="preserve">ETL / Data Engineering</t>
  </si>
  <si>
    <t xml:space="preserve">4 Spark/Airflow servers</t>
  </si>
  <si>
    <t xml:space="preserve">AI/ML Inference</t>
  </si>
  <si>
    <t xml:space="preserve">2 GPU servers (NVIDIA T4 or A2) for low-latency predictions</t>
  </si>
  <si>
    <t xml:space="preserve">Data Centre Facilities</t>
  </si>
  <si>
    <t xml:space="preserve">Rack space, power, cooling, LAN/WAN, physical security</t>
  </si>
  <si>
    <t xml:space="preserve">Total On-Premise in Straive price (hardware supplied by client)</t>
  </si>
  <si>
    <t xml:space="preserve">C.  Explicit Exclusions  -  must appear in the commercial</t>
  </si>
  <si>
    <t xml:space="preserve">On-premise hardware procurement, installation and setup - performed by the client's infrastructure partner (Paques Team) per Section 8 Technical &amp; Operational Assumptions.</t>
  </si>
  <si>
    <t xml:space="preserve">SMS, IVR and OTT broadcast carrier charges for the 170-180 million active number population - borne by BNPB / Pusdatinkom and the participating Telcos.</t>
  </si>
  <si>
    <t xml:space="preserve">Third-party commercial data licences (commercial satellite tasking, proprietary basemaps, paid weather feeds).</t>
  </si>
  <si>
    <t xml:space="preserve">BNPB data centre facilities, power, cooling and physical security.</t>
  </si>
  <si>
    <t xml:space="preserve">Any features outside the defined scope - chargeable on a Time &amp; Material basis.</t>
  </si>
  <si>
    <t xml:space="preserve">MODULE 4  |  Bottom-Up Estimate  vs  Published Option 2 Commercial</t>
  </si>
  <si>
    <t xml:space="preserve">Published figures are taken from Section 7 'Commercial Terms' of the Straive proposal (Option 2 - 2 Hazards led by Straive: Flood &amp; Landslide). Bottom-up figures are built from the Module 4 resource load plan and hybrid infra sheet.</t>
  </si>
  <si>
    <t xml:space="preserve">Commercial Line</t>
  </si>
  <si>
    <t xml:space="preserve">Bottom-Up (this workbook)</t>
  </si>
  <si>
    <t xml:space="preserve">Published Option 2</t>
  </si>
  <si>
    <t xml:space="preserve">Variance (USD)</t>
  </si>
  <si>
    <t xml:space="preserve">Variance %</t>
  </si>
  <si>
    <t xml:space="preserve">Read-out</t>
  </si>
  <si>
    <t xml:space="preserve">AI Solution Development + Data Engineering (one-time)</t>
  </si>
  <si>
    <t xml:space="preserve">Published price is under the bottom-up build by ~13%. Either descope, or book the difference as a deliberate strategic discount.</t>
  </si>
  <si>
    <t xml:space="preserve">IT Infrastructure (annual, recurring)</t>
  </si>
  <si>
    <t xml:space="preserve">Broadly aligned. Confirm the cloud sizing against a live calculator.</t>
  </si>
  <si>
    <t xml:space="preserve">Support &amp; Maintenance (annual, recurring)</t>
  </si>
  <si>
    <t xml:space="preserve">Published S&amp;M funds ~2.4 shared FTE against a 2.75 FTE pod for a 99.9% / 24x5 commitment. Thinnest line in the deal.</t>
  </si>
  <si>
    <t xml:space="preserve">Year-wise position</t>
  </si>
  <si>
    <t xml:space="preserve">Year 1 (build + infra)</t>
  </si>
  <si>
    <t xml:space="preserve">Year 2 (infra + S&amp;M)</t>
  </si>
  <si>
    <t xml:space="preserve">Year 3 (infra + S&amp;M)</t>
  </si>
  <si>
    <t xml:space="preserve">3-Year Total Contract Value</t>
  </si>
  <si>
    <t xml:space="preserve">Discount position against sales guidance</t>
  </si>
  <si>
    <t xml:space="preserve">Full guidance price before discount</t>
  </si>
  <si>
    <t xml:space="preserve">Bottom-up offer price (10% discount)</t>
  </si>
  <si>
    <t xml:space="preserve">The Module 3 convention</t>
  </si>
  <si>
    <t xml:space="preserve">Published Option 2 price</t>
  </si>
  <si>
    <t xml:space="preserve">Embeds roughly twice the intended discount</t>
  </si>
  <si>
    <t xml:space="preserve">Additional discount embedded in published price</t>
  </si>
  <si>
    <t xml:space="preserve">Approve this explicitly, or recover it via scope</t>
  </si>
  <si>
    <t xml:space="preserve">Levers to close the gap</t>
  </si>
  <si>
    <t xml:space="preserve">Hold the published price and book the delta as an approved strategic discount - this is a New Win and the Executive Summary already flags Approval Needed = YES.</t>
  </si>
  <si>
    <t xml:space="preserve">Reduce Year-1 build scope: Section 4 (Resource &amp; Recovery Estimation, 18.0 FTE-months) is the most severable block and is not part of the Early Action critical path.</t>
  </si>
  <si>
    <t xml:space="preserve">Move the citizen feedback loop (IVR voicebot, WhatsApp/Telegram) in Section 5.2 to a Phase 2 change request on T&amp;M.</t>
  </si>
  <si>
    <t xml:space="preserve">Re-price S&amp;M at the published number but cut the commitment to 12x5 with an on-call rota, rather than 24x5 against a 99.9% SLA.</t>
  </si>
  <si>
    <t xml:space="preserve">Confirm on-prem BoQ hardware exclusion in writing before signature - if it lands in Straive scope the gap widens materially.</t>
  </si>
  <si>
    <t xml:space="preserve">AWS Resource Estimate</t>
  </si>
  <si>
    <t xml:space="preserve">Service Category</t>
  </si>
  <si>
    <t xml:space="preserve">Service Type</t>
  </si>
  <si>
    <t xml:space="preserve">Region</t>
  </si>
  <si>
    <t xml:space="preserve">Description</t>
  </si>
  <si>
    <t xml:space="preserve">Estimated Annual Cost for Engineering POD (USD)</t>
  </si>
  <si>
    <t xml:space="preserve">Estimated Annual Cost for Pre-Disaster Integrated POD (USD)</t>
  </si>
  <si>
    <t xml:space="preserve">Estimated Annual Cost for During-Disaster Integrated POD (USD)</t>
  </si>
  <si>
    <t xml:space="preserve">Web</t>
  </si>
  <si>
    <t xml:space="preserve">Amazon CloudSearch or OpenSearch</t>
  </si>
  <si>
    <t xml:space="preserve">Asia Pacific (Jakarta)</t>
  </si>
  <si>
    <t xml:space="preserve">Search interface for hazard metadata, incidents, historical events</t>
  </si>
  <si>
    <t xml:space="preserve">Amazon EKS (Kubernetes Service)</t>
  </si>
  <si>
    <t xml:space="preserve">Container orchestration for ML services and real-time APIs</t>
  </si>
  <si>
    <t xml:space="preserve">Amazon CloudWatch + X-Ray</t>
  </si>
  <si>
    <t xml:space="preserve">Monitoring, logging, and tracing across services</t>
  </si>
  <si>
    <t xml:space="preserve">AWS Secrets Manager / KMS</t>
  </si>
  <si>
    <t xml:space="preserve">Securing credentials, API keys, model secrets</t>
  </si>
  <si>
    <t xml:space="preserve">Developer Tools</t>
  </si>
  <si>
    <t xml:space="preserve">AWS AppConfig + CodePipeline</t>
  </si>
  <si>
    <t xml:space="preserve">Manage app configurations, model toggles, feature flags</t>
  </si>
  <si>
    <t xml:space="preserve">AWS Application Load Balancer (ALB)</t>
  </si>
  <si>
    <t xml:space="preserve">Routing real-time traffic for disaster alert APIs</t>
  </si>
  <si>
    <t xml:space="preserve">Auto Scaling with EC2 Spot Instances</t>
  </si>
  <si>
    <t xml:space="preserve">Scale compute for training/inference workloads</t>
  </si>
  <si>
    <t xml:space="preserve">AI</t>
  </si>
  <si>
    <t xml:space="preserve">Amazon SageMaker (Core ML)</t>
  </si>
  <si>
    <t xml:space="preserve">Model training &amp; inference for hazard prediction</t>
  </si>
  <si>
    <t xml:space="preserve">SageMaker Geospatial Capabilities</t>
  </si>
  <si>
    <t xml:space="preserve">Analyze satellite imagery and geospatial risk for flood/fire/landslide</t>
  </si>
  <si>
    <t xml:space="preserve">AWS IoT + Kinesis (Real-time Feeds)</t>
  </si>
  <si>
    <t xml:space="preserve">Ingest and process sensor/weather feeds for live alerts</t>
  </si>
  <si>
    <t xml:space="preserve">Front-End</t>
  </si>
  <si>
    <t xml:space="preserve">AWS Amplify + MapLibre/Mapbox GL JS</t>
  </si>
  <si>
    <t xml:space="preserve">Dashboard with satellite map overlays, historical and live hazard visualizations</t>
  </si>
  <si>
    <t xml:space="preserve">Total Cost Estimates</t>
  </si>
  <si>
    <t xml:space="preserve">Assumptions</t>
  </si>
  <si>
    <t xml:space="preserve">This estimate is based on the assumptions that roughly data processing is involved daily consisting of the following type of data sources. Only relevant data sources for each use case will be considered. Additional Data sources aren't included as part of this estimate.</t>
  </si>
  <si>
    <t xml:space="preserve">Includes either fully on-prem, cloud or hybrid deployments as needed by the client or partner</t>
  </si>
  <si>
    <t xml:space="preserve">Any Change Requests to the solution features will be charged on a T&amp;M (Time &amp; Material) basis</t>
  </si>
  <si>
    <t xml:space="preserve">Solution Development - Includes model dev, integration dev and support to set up the solution within client infrastructure</t>
  </si>
  <si>
    <t xml:space="preserve">Support &amp; Maintenance : 24X5 with shared staffed coverage. Includes the upkeep, break-fix of the data engineering modules along with SLA adherence and performance optimization of the system</t>
  </si>
  <si>
    <t xml:space="preserve">SLAs have been discussed in detail in the appropriate section of this proposal. Slide Name - SLAs, RACI Matrix – Support &amp; Maintenance Overview</t>
  </si>
  <si>
    <t xml:space="preserve">**IT Infrastructure includes solution hosting, storage, environments, database, networking, compute, security for the Data Management Module ONLY</t>
  </si>
</sst>
</file>

<file path=xl/styles.xml><?xml version="1.0" encoding="utf-8"?>
<styleSheet xmlns="http://schemas.openxmlformats.org/spreadsheetml/2006/main">
  <numFmts count="11">
    <numFmt numFmtId="164" formatCode="General"/>
    <numFmt numFmtId="165" formatCode="\₹#,##0"/>
    <numFmt numFmtId="166" formatCode="\$#,##0"/>
    <numFmt numFmtId="167" formatCode="0%"/>
    <numFmt numFmtId="168" formatCode="0.##"/>
    <numFmt numFmtId="169" formatCode="0"/>
    <numFmt numFmtId="170" formatCode="0.0%"/>
    <numFmt numFmtId="171" formatCode="\$#,##0"/>
    <numFmt numFmtId="172" formatCode="\₹#,##0"/>
    <numFmt numFmtId="173" formatCode="0.0"/>
    <numFmt numFmtId="174" formatCode="0.00"/>
  </numFmts>
  <fonts count="22">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color rgb="FF0000FF"/>
      <name val="Arial"/>
      <family val="0"/>
      <charset val="1"/>
    </font>
    <font>
      <b val="true"/>
      <sz val="11"/>
      <color rgb="FFFFFFFF"/>
      <name val="Arial"/>
      <family val="0"/>
      <charset val="1"/>
    </font>
    <font>
      <b val="true"/>
      <sz val="10"/>
      <color rgb="FFFFFFFF"/>
      <name val="Arial"/>
      <family val="0"/>
      <charset val="1"/>
    </font>
    <font>
      <sz val="10"/>
      <name val="Arial"/>
      <family val="0"/>
      <charset val="1"/>
    </font>
    <font>
      <sz val="10"/>
      <color rgb="FF808080"/>
      <name val="Arial"/>
      <family val="0"/>
      <charset val="1"/>
    </font>
    <font>
      <sz val="10"/>
      <color rgb="FF008000"/>
      <name val="Arial"/>
      <family val="0"/>
      <charset val="1"/>
    </font>
    <font>
      <sz val="9"/>
      <name val="Arial"/>
      <family val="0"/>
      <charset val="1"/>
    </font>
    <font>
      <sz val="10"/>
      <name val="Arial"/>
      <family val="2"/>
    </font>
    <font>
      <b val="true"/>
      <sz val="9"/>
      <name val="Arial"/>
      <family val="0"/>
      <charset val="1"/>
    </font>
    <font>
      <b val="true"/>
      <sz val="10"/>
      <color rgb="FF008000"/>
      <name val="Arial"/>
      <family val="0"/>
      <charset val="1"/>
    </font>
    <font>
      <b val="true"/>
      <sz val="12"/>
      <name val="Arial"/>
      <family val="0"/>
      <charset val="1"/>
    </font>
    <font>
      <i val="true"/>
      <sz val="10"/>
      <name val="Arial"/>
      <family val="0"/>
      <charset val="1"/>
    </font>
    <font>
      <b val="true"/>
      <sz val="10"/>
      <color rgb="FFC00000"/>
      <name val="Arial"/>
      <family val="0"/>
      <charset val="1"/>
    </font>
    <font>
      <b val="true"/>
      <sz val="12"/>
      <color rgb="FF0000FF"/>
      <name val="Arial"/>
      <family val="0"/>
      <charset val="1"/>
    </font>
    <font>
      <b val="true"/>
      <sz val="12"/>
      <color rgb="FFC00000"/>
      <name val="Arial"/>
      <family val="0"/>
      <charset val="1"/>
    </font>
    <font>
      <b val="true"/>
      <sz val="14"/>
      <name val="Arial"/>
      <family val="0"/>
      <charset val="1"/>
    </font>
    <font>
      <b val="true"/>
      <sz val="11"/>
      <name val="Arial"/>
      <family val="0"/>
      <charset val="1"/>
    </font>
  </fonts>
  <fills count="23">
    <fill>
      <patternFill patternType="none"/>
    </fill>
    <fill>
      <patternFill patternType="gray125"/>
    </fill>
    <fill>
      <patternFill patternType="solid">
        <fgColor rgb="FFD9D9D9"/>
        <bgColor rgb="FFDEEAF6"/>
      </patternFill>
    </fill>
    <fill>
      <patternFill patternType="solid">
        <fgColor rgb="FFFFF2CC"/>
        <bgColor rgb="FFFCE4D6"/>
      </patternFill>
    </fill>
    <fill>
      <patternFill patternType="solid">
        <fgColor rgb="FF7030A0"/>
        <bgColor rgb="FF993366"/>
      </patternFill>
    </fill>
    <fill>
      <patternFill patternType="solid">
        <fgColor rgb="FF7B6A5A"/>
        <bgColor rgb="FF808080"/>
      </patternFill>
    </fill>
    <fill>
      <patternFill patternType="solid">
        <fgColor rgb="FF5A4A3F"/>
        <bgColor rgb="FF7B6A5A"/>
      </patternFill>
    </fill>
    <fill>
      <patternFill patternType="solid">
        <fgColor rgb="FFFBE4E4"/>
        <bgColor rgb="FFFCE4EC"/>
      </patternFill>
    </fill>
    <fill>
      <patternFill patternType="solid">
        <fgColor rgb="FFDEEAF6"/>
        <bgColor rgb="FFE2EFDA"/>
      </patternFill>
    </fill>
    <fill>
      <patternFill patternType="solid">
        <fgColor rgb="FFFFD966"/>
        <bgColor rgb="FFF8CBAD"/>
      </patternFill>
    </fill>
    <fill>
      <patternFill patternType="solid">
        <fgColor rgb="FFF8CBAD"/>
        <bgColor rgb="FFFCE4D6"/>
      </patternFill>
    </fill>
    <fill>
      <patternFill patternType="solid">
        <fgColor rgb="FF5B9BD5"/>
        <bgColor rgb="FF8FAADC"/>
      </patternFill>
    </fill>
    <fill>
      <patternFill patternType="solid">
        <fgColor rgb="FFA9D18E"/>
        <bgColor rgb="FFC5E0B4"/>
      </patternFill>
    </fill>
    <fill>
      <patternFill patternType="solid">
        <fgColor rgb="FFBDD7EE"/>
        <bgColor rgb="FFB4C7E7"/>
      </patternFill>
    </fill>
    <fill>
      <patternFill patternType="solid">
        <fgColor rgb="FFC6E0B4"/>
        <bgColor rgb="FFC5E0B4"/>
      </patternFill>
    </fill>
    <fill>
      <patternFill patternType="solid">
        <fgColor rgb="FFE2EFDA"/>
        <bgColor rgb="FFDEEAF6"/>
      </patternFill>
    </fill>
    <fill>
      <patternFill patternType="solid">
        <fgColor rgb="FFFCE4D6"/>
        <bgColor rgb="FFFBE4E4"/>
      </patternFill>
    </fill>
    <fill>
      <patternFill patternType="solid">
        <fgColor rgb="FFF4B183"/>
        <bgColor rgb="FFF8CBAD"/>
      </patternFill>
    </fill>
    <fill>
      <patternFill patternType="solid">
        <fgColor rgb="FFB4C7E7"/>
        <bgColor rgb="FFBDD7EE"/>
      </patternFill>
    </fill>
    <fill>
      <patternFill patternType="solid">
        <fgColor rgb="FF1F3864"/>
        <bgColor rgb="FF333399"/>
      </patternFill>
    </fill>
    <fill>
      <patternFill patternType="solid">
        <fgColor rgb="FF8FAADC"/>
        <bgColor rgb="FFB4C7E7"/>
      </patternFill>
    </fill>
    <fill>
      <patternFill patternType="solid">
        <fgColor rgb="FFC5E0B4"/>
        <bgColor rgb="FFC6E0B4"/>
      </patternFill>
    </fill>
    <fill>
      <patternFill patternType="solid">
        <fgColor rgb="FFFCE4EC"/>
        <bgColor rgb="FFFBE4E4"/>
      </patternFill>
    </fill>
  </fills>
  <borders count="3">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color rgb="FFC55A11"/>
      </left>
      <right style="medium">
        <color rgb="FFC55A11"/>
      </right>
      <top style="medium">
        <color rgb="FFC55A11"/>
      </top>
      <bottom style="medium">
        <color rgb="FFC55A1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5"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7" borderId="1" xfId="0" applyFont="true" applyBorder="true" applyAlignment="true" applyProtection="false">
      <alignment horizontal="right" vertical="center" textRotation="0" wrapText="fals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6" fontId="10" fillId="7" borderId="1" xfId="0" applyFont="true" applyBorder="true" applyAlignment="true" applyProtection="false">
      <alignment horizontal="right" vertical="center" textRotation="0" wrapText="false" indent="0" shrinkToFit="false"/>
      <protection locked="true" hidden="false"/>
    </xf>
    <xf numFmtId="166" fontId="5" fillId="7" borderId="1" xfId="0" applyFont="true" applyBorder="true" applyAlignment="true" applyProtection="false">
      <alignment horizontal="right" vertical="center" textRotation="0" wrapText="false" indent="0" shrinkToFit="false"/>
      <protection locked="true" hidden="false"/>
    </xf>
    <xf numFmtId="166" fontId="4" fillId="7" borderId="1" xfId="0" applyFont="true" applyBorder="true" applyAlignment="true" applyProtection="false">
      <alignment horizontal="right" vertical="center" textRotation="0" wrapText="false" indent="0" shrinkToFit="false"/>
      <protection locked="true" hidden="false"/>
    </xf>
    <xf numFmtId="167" fontId="5" fillId="7"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0" fillId="12" borderId="0" xfId="0" applyFont="false" applyBorder="fals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8" fontId="5" fillId="3"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4" fillId="14" borderId="1" xfId="0" applyFont="true" applyBorder="true" applyAlignment="true" applyProtection="false">
      <alignment horizontal="left" vertical="center" textRotation="0" wrapText="true" indent="0" shrinkToFit="false"/>
      <protection locked="true" hidden="false"/>
    </xf>
    <xf numFmtId="168" fontId="4" fillId="14" borderId="1" xfId="0" applyFont="true" applyBorder="true" applyAlignment="true" applyProtection="false">
      <alignment horizontal="center"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6" fontId="4" fillId="14"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4" fillId="15" borderId="1" xfId="0" applyFont="true" applyBorder="true" applyAlignment="true" applyProtection="false">
      <alignment horizontal="left" vertical="center" textRotation="0" wrapText="true" indent="0" shrinkToFit="false"/>
      <protection locked="true" hidden="false"/>
    </xf>
    <xf numFmtId="166" fontId="14" fillId="15" borderId="1" xfId="0" applyFont="true" applyBorder="true" applyAlignment="true" applyProtection="false">
      <alignment horizontal="center" vertical="center" textRotation="0" wrapText="true" indent="0" shrinkToFit="false"/>
      <protection locked="true" hidden="false"/>
    </xf>
    <xf numFmtId="165" fontId="14" fillId="15" borderId="1" xfId="0" applyFont="true" applyBorder="true" applyAlignment="true" applyProtection="false">
      <alignment horizontal="center" vertical="center" textRotation="0" wrapText="true" indent="0" shrinkToFit="false"/>
      <protection locked="true" hidden="false"/>
    </xf>
    <xf numFmtId="169" fontId="5" fillId="15" borderId="1" xfId="0" applyFont="true" applyBorder="true" applyAlignment="true" applyProtection="false">
      <alignment horizontal="center" vertical="center" textRotation="0" wrapText="true" indent="0" shrinkToFit="false"/>
      <protection locked="true" hidden="false"/>
    </xf>
    <xf numFmtId="164" fontId="4" fillId="16"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8" fontId="5" fillId="0" borderId="1" xfId="0" applyFont="true" applyBorder="true" applyAlignment="true" applyProtection="false">
      <alignment horizontal="center" vertical="center" textRotation="0" wrapText="true" indent="0" shrinkToFit="false"/>
      <protection locked="true" hidden="false"/>
    </xf>
    <xf numFmtId="164" fontId="4" fillId="15" borderId="1" xfId="0" applyFont="true" applyBorder="true" applyAlignment="true" applyProtection="false">
      <alignment horizontal="center" vertical="center" textRotation="0" wrapText="true" indent="0" shrinkToFit="false"/>
      <protection locked="true" hidden="false"/>
    </xf>
    <xf numFmtId="166" fontId="8" fillId="3" borderId="1" xfId="0" applyFont="true" applyBorder="true" applyAlignment="true" applyProtection="false">
      <alignment horizontal="center" vertical="center" textRotation="0" wrapText="true" indent="0" shrinkToFit="false"/>
      <protection locked="true" hidden="false"/>
    </xf>
    <xf numFmtId="166" fontId="4" fillId="15" borderId="1" xfId="0" applyFont="true" applyBorder="true" applyAlignment="true" applyProtection="false">
      <alignment horizontal="center" vertical="center" textRotation="0" wrapText="true" indent="0" shrinkToFit="false"/>
      <protection locked="true" hidden="false"/>
    </xf>
    <xf numFmtId="164" fontId="8" fillId="15"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6" fontId="4" fillId="0" borderId="1" xfId="0" applyFont="true" applyBorder="true" applyAlignment="true" applyProtection="false">
      <alignment horizontal="right"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4" fillId="16" borderId="2"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0" shrinkToFit="false"/>
      <protection locked="true" hidden="false"/>
    </xf>
    <xf numFmtId="166" fontId="16" fillId="0" borderId="2" xfId="0" applyFont="true" applyBorder="true" applyAlignment="true" applyProtection="false">
      <alignment horizontal="right" vertical="center" textRotation="0" wrapText="false" indent="0" shrinkToFit="false"/>
      <protection locked="true" hidden="false"/>
    </xf>
    <xf numFmtId="166" fontId="4" fillId="0" borderId="2" xfId="0" applyFont="true" applyBorder="true" applyAlignment="true" applyProtection="false">
      <alignment horizontal="right" vertical="center" textRotation="0" wrapText="false" indent="0" shrinkToFit="false"/>
      <protection locked="true" hidden="false"/>
    </xf>
    <xf numFmtId="164" fontId="15" fillId="0" borderId="2" xfId="0" applyFont="true" applyBorder="true" applyAlignment="true" applyProtection="false">
      <alignment horizontal="left" vertical="center" textRotation="0" wrapText="true" indent="0" shrinkToFit="false"/>
      <protection locked="true" hidden="false"/>
    </xf>
    <xf numFmtId="166" fontId="15" fillId="0" borderId="2" xfId="0" applyFont="true" applyBorder="true" applyAlignment="true" applyProtection="false">
      <alignment horizontal="right" vertical="center" textRotation="0" wrapText="false" indent="0" shrinkToFit="false"/>
      <protection locked="true" hidden="false"/>
    </xf>
    <xf numFmtId="164" fontId="0" fillId="17" borderId="0" xfId="0" applyFont="false" applyBorder="false" applyAlignment="true" applyProtection="false">
      <alignment horizontal="general" vertical="bottom" textRotation="0" wrapText="false" indent="0" shrinkToFit="false"/>
      <protection locked="true" hidden="false"/>
    </xf>
    <xf numFmtId="164" fontId="0" fillId="18" borderId="0" xfId="0" applyFont="false" applyBorder="false" applyAlignment="true" applyProtection="false">
      <alignment horizontal="general" vertical="bottom" textRotation="0" wrapText="false" indent="0" shrinkToFit="false"/>
      <protection locked="true" hidden="false"/>
    </xf>
    <xf numFmtId="164" fontId="6" fillId="19" borderId="1"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70" fontId="8" fillId="0" borderId="1" xfId="0" applyFont="true" applyBorder="true" applyAlignment="true" applyProtection="false">
      <alignment horizontal="center" vertical="center" textRotation="0" wrapText="true" indent="0" shrinkToFit="false"/>
      <protection locked="true" hidden="false"/>
    </xf>
    <xf numFmtId="171" fontId="8" fillId="0" borderId="1" xfId="0" applyFont="true" applyBorder="true" applyAlignment="true" applyProtection="false">
      <alignment horizontal="right" vertical="center" textRotation="0" wrapText="false" indent="0" shrinkToFit="false"/>
      <protection locked="true" hidden="false"/>
    </xf>
    <xf numFmtId="170" fontId="4" fillId="14" borderId="1" xfId="0" applyFont="true" applyBorder="true" applyAlignment="true" applyProtection="false">
      <alignment horizontal="center" vertical="center" textRotation="0" wrapText="true" indent="0" shrinkToFit="false"/>
      <protection locked="true" hidden="false"/>
    </xf>
    <xf numFmtId="171" fontId="4" fillId="14" borderId="1" xfId="0" applyFont="true" applyBorder="true" applyAlignment="true" applyProtection="false">
      <alignment horizontal="right" vertical="center"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21"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center" vertical="center" textRotation="0" wrapText="true" indent="0" shrinkToFit="false"/>
      <protection locked="true" hidden="false"/>
    </xf>
    <xf numFmtId="171" fontId="8" fillId="0" borderId="1" xfId="0" applyFont="true" applyBorder="true" applyAlignment="true" applyProtection="false">
      <alignment horizontal="center" vertical="center" textRotation="0" wrapText="true" indent="0" shrinkToFit="false"/>
      <protection locked="true" hidden="false"/>
    </xf>
    <xf numFmtId="171" fontId="4" fillId="14" borderId="1" xfId="0" applyFont="true" applyBorder="true" applyAlignment="true" applyProtection="false">
      <alignment horizontal="center" vertical="center" textRotation="0" wrapText="true" indent="0" shrinkToFit="false"/>
      <protection locked="true" hidden="false"/>
    </xf>
    <xf numFmtId="171" fontId="14" fillId="15" borderId="1" xfId="0" applyFont="true" applyBorder="true" applyAlignment="true" applyProtection="false">
      <alignment horizontal="center" vertical="center" textRotation="0" wrapText="true" indent="0" shrinkToFit="false"/>
      <protection locked="true" hidden="false"/>
    </xf>
    <xf numFmtId="172" fontId="14" fillId="15" borderId="1" xfId="0" applyFont="true" applyBorder="true" applyAlignment="true" applyProtection="false">
      <alignment horizontal="center" vertical="center" textRotation="0" wrapText="true" indent="0" shrinkToFit="false"/>
      <protection locked="true" hidden="false"/>
    </xf>
    <xf numFmtId="171" fontId="8" fillId="3" borderId="1" xfId="0" applyFont="true" applyBorder="true" applyAlignment="true" applyProtection="false">
      <alignment horizontal="center" vertical="center" textRotation="0" wrapText="true" indent="0" shrinkToFit="false"/>
      <protection locked="true" hidden="false"/>
    </xf>
    <xf numFmtId="171" fontId="4" fillId="15" borderId="1" xfId="0" applyFont="true" applyBorder="true" applyAlignment="true" applyProtection="false">
      <alignment horizontal="center" vertical="center" textRotation="0" wrapText="true" indent="0" shrinkToFit="false"/>
      <protection locked="true" hidden="false"/>
    </xf>
    <xf numFmtId="173" fontId="8" fillId="0" borderId="1" xfId="0" applyFont="true" applyBorder="true" applyAlignment="true" applyProtection="false">
      <alignment horizontal="right"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71" fontId="10" fillId="0" borderId="1" xfId="0" applyFont="true" applyBorder="true" applyAlignment="true" applyProtection="false">
      <alignment horizontal="right" vertical="center" textRotation="0" wrapText="false" indent="0" shrinkToFit="false"/>
      <protection locked="true" hidden="false"/>
    </xf>
    <xf numFmtId="171" fontId="4" fillId="0" borderId="1" xfId="0" applyFont="true" applyBorder="true" applyAlignment="true" applyProtection="false">
      <alignment horizontal="right" vertical="center" textRotation="0" wrapText="false" indent="0" shrinkToFit="false"/>
      <protection locked="true" hidden="false"/>
    </xf>
    <xf numFmtId="170" fontId="5" fillId="0" borderId="1" xfId="0" applyFont="true" applyBorder="true" applyAlignment="true" applyProtection="false">
      <alignment horizontal="right" vertical="center" textRotation="0" wrapText="false" indent="0" shrinkToFit="false"/>
      <protection locked="true" hidden="false"/>
    </xf>
    <xf numFmtId="171" fontId="4" fillId="7" borderId="1" xfId="0" applyFont="true" applyBorder="true" applyAlignment="true" applyProtection="false">
      <alignment horizontal="right"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true" indent="0" shrinkToFit="false"/>
      <protection locked="true" hidden="false"/>
    </xf>
    <xf numFmtId="164" fontId="4" fillId="16" borderId="1" xfId="0" applyFont="true" applyBorder="true" applyAlignment="true" applyProtection="false">
      <alignment horizontal="left" vertical="center" textRotation="0" wrapText="true" indent="0" shrinkToFit="false"/>
      <protection locked="true" hidden="false"/>
    </xf>
    <xf numFmtId="174" fontId="5" fillId="0" borderId="1" xfId="0" applyFont="true" applyBorder="true" applyAlignment="true" applyProtection="false">
      <alignment horizontal="center" vertical="center" textRotation="0" wrapText="true" indent="0" shrinkToFit="false"/>
      <protection locked="true" hidden="false"/>
    </xf>
    <xf numFmtId="169" fontId="5" fillId="0" borderId="1" xfId="0" applyFont="true" applyBorder="true" applyAlignment="true" applyProtection="false">
      <alignment horizontal="center" vertical="center" textRotation="0" wrapText="true" indent="0" shrinkToFit="false"/>
      <protection locked="true" hidden="false"/>
    </xf>
    <xf numFmtId="174" fontId="4" fillId="14" borderId="1" xfId="0" applyFont="true" applyBorder="true" applyAlignment="true" applyProtection="false">
      <alignment horizontal="center" vertical="center" textRotation="0" wrapText="true" indent="0" shrinkToFit="false"/>
      <protection locked="true" hidden="false"/>
    </xf>
    <xf numFmtId="171" fontId="16" fillId="0" borderId="2" xfId="0" applyFont="true" applyBorder="true" applyAlignment="true" applyProtection="false">
      <alignment horizontal="right" vertical="center" textRotation="0" wrapText="false" indent="0" shrinkToFit="false"/>
      <protection locked="true" hidden="false"/>
    </xf>
    <xf numFmtId="171" fontId="4" fillId="0" borderId="2" xfId="0" applyFont="true" applyBorder="true" applyAlignment="true" applyProtection="false">
      <alignment horizontal="right" vertical="center" textRotation="0" wrapText="false" indent="0" shrinkToFit="false"/>
      <protection locked="true" hidden="false"/>
    </xf>
    <xf numFmtId="171" fontId="15" fillId="0" borderId="2" xfId="0" applyFont="true" applyBorder="true" applyAlignment="true" applyProtection="false">
      <alignment horizontal="right" vertical="center" textRotation="0" wrapText="false" indent="0" shrinkToFit="false"/>
      <protection locked="true" hidden="false"/>
    </xf>
    <xf numFmtId="171" fontId="5" fillId="0" borderId="1" xfId="0" applyFont="true" applyBorder="true" applyAlignment="true" applyProtection="false">
      <alignment horizontal="right" vertical="center" textRotation="0" wrapText="false" indent="0" shrinkToFit="false"/>
      <protection locked="true" hidden="false"/>
    </xf>
    <xf numFmtId="164" fontId="4" fillId="22" borderId="1" xfId="0" applyFont="true" applyBorder="true" applyAlignment="true" applyProtection="false">
      <alignment horizontal="left" vertical="center" textRotation="0" wrapText="true" indent="0" shrinkToFit="false"/>
      <protection locked="true" hidden="false"/>
    </xf>
    <xf numFmtId="171" fontId="17" fillId="0" borderId="1" xfId="0" applyFont="true" applyBorder="true" applyAlignment="true" applyProtection="false">
      <alignment horizontal="right" vertical="center" textRotation="0" wrapText="false" indent="0" shrinkToFit="false"/>
      <protection locked="true" hidden="false"/>
    </xf>
    <xf numFmtId="171" fontId="4" fillId="22" borderId="1" xfId="0" applyFont="true" applyBorder="true" applyAlignment="true" applyProtection="false">
      <alignment horizontal="right" vertical="center" textRotation="0" wrapText="false" indent="0" shrinkToFit="false"/>
      <protection locked="true" hidden="false"/>
    </xf>
    <xf numFmtId="170" fontId="17" fillId="0"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71" fontId="15" fillId="14" borderId="1" xfId="0" applyFont="true" applyBorder="true" applyAlignment="true" applyProtection="false">
      <alignment horizontal="right" vertical="center" textRotation="0" wrapText="false" indent="0" shrinkToFit="false"/>
      <protection locked="true" hidden="false"/>
    </xf>
    <xf numFmtId="171" fontId="18" fillId="14" borderId="1" xfId="0" applyFont="true" applyBorder="true" applyAlignment="true" applyProtection="false">
      <alignment horizontal="right" vertical="center" textRotation="0" wrapText="false" indent="0" shrinkToFit="false"/>
      <protection locked="true" hidden="false"/>
    </xf>
    <xf numFmtId="171" fontId="19" fillId="14" borderId="1" xfId="0" applyFont="true" applyBorder="true" applyAlignment="true" applyProtection="false">
      <alignment horizontal="right" vertical="center" textRotation="0" wrapText="false" indent="0" shrinkToFit="false"/>
      <protection locked="true" hidden="false"/>
    </xf>
    <xf numFmtId="170" fontId="17" fillId="14" borderId="1" xfId="0" applyFont="true" applyBorder="true" applyAlignment="true" applyProtection="false">
      <alignment horizontal="center" vertical="center" textRotation="0" wrapText="true" indent="0" shrinkToFit="false"/>
      <protection locked="true" hidden="false"/>
    </xf>
    <xf numFmtId="170" fontId="8" fillId="0" borderId="1" xfId="0" applyFont="true" applyBorder="true" applyAlignment="true" applyProtection="false">
      <alignment horizontal="right" vertical="center" textRotation="0" wrapText="false" indent="0" shrinkToFit="false"/>
      <protection locked="true" hidden="false"/>
    </xf>
    <xf numFmtId="170" fontId="17" fillId="0" borderId="1" xfId="0" applyFont="true" applyBorder="true" applyAlignment="true" applyProtection="false">
      <alignment horizontal="right" vertical="center" textRotation="0" wrapText="fals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6" fontId="5" fillId="0" borderId="1" xfId="0" applyFont="true" applyBorder="true" applyAlignment="true" applyProtection="false">
      <alignment horizontal="right" vertical="center" textRotation="0" wrapText="false" indent="0" shrinkToFit="false"/>
      <protection locked="true" hidden="false"/>
    </xf>
    <xf numFmtId="166" fontId="4" fillId="2" borderId="1" xfId="0" applyFont="true" applyBorder="true" applyAlignment="true" applyProtection="false">
      <alignment horizontal="right" vertical="center" textRotation="0" wrapText="fals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BE4E4"/>
      <rgbColor rgb="FFFF00FF"/>
      <rgbColor rgb="FF00FFFF"/>
      <rgbColor rgb="FF800000"/>
      <rgbColor rgb="FF008000"/>
      <rgbColor rgb="FF000080"/>
      <rgbColor rgb="FF808000"/>
      <rgbColor rgb="FF800080"/>
      <rgbColor rgb="FF008080"/>
      <rgbColor rgb="FFB4C7E7"/>
      <rgbColor rgb="FF808080"/>
      <rgbColor rgb="FF8FAADC"/>
      <rgbColor rgb="FF7030A0"/>
      <rgbColor rgb="FFFFF2CC"/>
      <rgbColor rgb="FFDEEAF6"/>
      <rgbColor rgb="FF660066"/>
      <rgbColor rgb="FFFF8080"/>
      <rgbColor rgb="FF0066CC"/>
      <rgbColor rgb="FFBDD7EE"/>
      <rgbColor rgb="FF000080"/>
      <rgbColor rgb="FFFF00FF"/>
      <rgbColor rgb="FFFCE4EC"/>
      <rgbColor rgb="FF00FFFF"/>
      <rgbColor rgb="FF800080"/>
      <rgbColor rgb="FF800000"/>
      <rgbColor rgb="FF008080"/>
      <rgbColor rgb="FF0000FF"/>
      <rgbColor rgb="FF00CCFF"/>
      <rgbColor rgb="FFD9D9D9"/>
      <rgbColor rgb="FFE2EFDA"/>
      <rgbColor rgb="FFFCE4D6"/>
      <rgbColor rgb="FFC5E0B4"/>
      <rgbColor rgb="FFF4B183"/>
      <rgbColor rgb="FFC6E0B4"/>
      <rgbColor rgb="FFF8CBAD"/>
      <rgbColor rgb="FF3366FF"/>
      <rgbColor rgb="FF33CCCC"/>
      <rgbColor rgb="FFA9D18E"/>
      <rgbColor rgb="FFFFD966"/>
      <rgbColor rgb="FFFF9900"/>
      <rgbColor rgb="FFC55A11"/>
      <rgbColor rgb="FF7B6A5A"/>
      <rgbColor rgb="FF5B9BD5"/>
      <rgbColor rgb="FF1F3864"/>
      <rgbColor rgb="FF339966"/>
      <rgbColor rgb="FF003300"/>
      <rgbColor rgb="FF333300"/>
      <rgbColor rgb="FF993300"/>
      <rgbColor rgb="FF993366"/>
      <rgbColor rgb="FF333399"/>
      <rgbColor rgb="FF5A4A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K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1" width="3"/>
    <col collapsed="false" customWidth="true" hidden="false" outlineLevel="0" max="4" min="4" style="1" width="34"/>
    <col collapsed="false" customWidth="true" hidden="false" outlineLevel="0" max="5" min="5" style="1" width="22"/>
    <col collapsed="false" customWidth="true" hidden="false" outlineLevel="0" max="6" min="6" style="1" width="26"/>
    <col collapsed="false" customWidth="true" hidden="false" outlineLevel="0" max="7" min="7" style="1" width="40"/>
  </cols>
  <sheetData>
    <row r="1" customFormat="false" ht="18" hidden="false" customHeight="true" outlineLevel="0" collapsed="false">
      <c r="D1" s="2" t="s">
        <v>0</v>
      </c>
      <c r="E1" s="3" t="n">
        <v>85</v>
      </c>
    </row>
    <row r="2" customFormat="false" ht="21.75" hidden="false" customHeight="true" outlineLevel="0" collapsed="false">
      <c r="D2" s="4" t="s">
        <v>1</v>
      </c>
      <c r="E2" s="4"/>
      <c r="F2" s="4"/>
      <c r="G2" s="4"/>
    </row>
    <row r="3" customFormat="false" ht="18" hidden="false" customHeight="true" outlineLevel="0" collapsed="false">
      <c r="D3" s="5" t="s">
        <v>2</v>
      </c>
      <c r="E3" s="5"/>
      <c r="F3" s="5" t="s">
        <v>3</v>
      </c>
      <c r="G3" s="5"/>
    </row>
    <row r="4" customFormat="false" ht="18" hidden="false" customHeight="true" outlineLevel="0" collapsed="false">
      <c r="D4" s="6" t="s">
        <v>4</v>
      </c>
      <c r="E4" s="7" t="s">
        <v>5</v>
      </c>
      <c r="F4" s="6" t="s">
        <v>6</v>
      </c>
      <c r="G4" s="7"/>
    </row>
    <row r="5" customFormat="false" ht="18" hidden="false" customHeight="true" outlineLevel="0" collapsed="false">
      <c r="D5" s="6" t="s">
        <v>7</v>
      </c>
      <c r="E5" s="7"/>
      <c r="F5" s="6" t="s">
        <v>8</v>
      </c>
      <c r="G5" s="7" t="s">
        <v>9</v>
      </c>
    </row>
    <row r="6" customFormat="false" ht="18" hidden="false" customHeight="true" outlineLevel="0" collapsed="false">
      <c r="D6" s="6" t="s">
        <v>10</v>
      </c>
      <c r="E6" s="7" t="s">
        <v>11</v>
      </c>
      <c r="F6" s="6" t="s">
        <v>12</v>
      </c>
      <c r="G6" s="7" t="s">
        <v>13</v>
      </c>
    </row>
    <row r="7" customFormat="false" ht="18" hidden="false" customHeight="true" outlineLevel="0" collapsed="false">
      <c r="D7" s="6" t="s">
        <v>14</v>
      </c>
      <c r="E7" s="7"/>
      <c r="F7" s="6" t="s">
        <v>15</v>
      </c>
      <c r="G7" s="7"/>
    </row>
    <row r="8" customFormat="false" ht="18" hidden="false" customHeight="true" outlineLevel="0" collapsed="false">
      <c r="D8" s="6" t="s">
        <v>16</v>
      </c>
      <c r="E8" s="7"/>
      <c r="F8" s="6" t="s">
        <v>17</v>
      </c>
      <c r="G8" s="7" t="s">
        <v>18</v>
      </c>
    </row>
    <row r="9" customFormat="false" ht="18" hidden="false" customHeight="true" outlineLevel="0" collapsed="false">
      <c r="D9" s="6" t="s">
        <v>19</v>
      </c>
      <c r="E9" s="7"/>
      <c r="F9" s="6" t="s">
        <v>20</v>
      </c>
      <c r="G9" s="7" t="s">
        <v>21</v>
      </c>
    </row>
    <row r="10" customFormat="false" ht="18" hidden="false" customHeight="true" outlineLevel="0" collapsed="false">
      <c r="D10" s="6" t="s">
        <v>22</v>
      </c>
      <c r="E10" s="7"/>
      <c r="F10" s="6" t="s">
        <v>23</v>
      </c>
      <c r="G10" s="7"/>
    </row>
    <row r="11" customFormat="false" ht="18" hidden="false" customHeight="true" outlineLevel="0" collapsed="false">
      <c r="D11" s="5" t="s">
        <v>24</v>
      </c>
      <c r="E11" s="5"/>
      <c r="F11" s="5" t="s">
        <v>25</v>
      </c>
      <c r="G11" s="5"/>
    </row>
    <row r="12" customFormat="false" ht="18" hidden="false" customHeight="true" outlineLevel="0" collapsed="false">
      <c r="D12" s="6" t="s">
        <v>26</v>
      </c>
      <c r="E12" s="8" t="s">
        <v>27</v>
      </c>
      <c r="F12" s="9" t="s">
        <v>28</v>
      </c>
      <c r="G12" s="9"/>
      <c r="K12" s="10" t="n">
        <v>313488</v>
      </c>
    </row>
    <row r="13" customFormat="false" ht="18" hidden="false" customHeight="true" outlineLevel="0" collapsed="false">
      <c r="D13" s="6" t="s">
        <v>29</v>
      </c>
      <c r="E13" s="11" t="n">
        <f aca="false">'Module 3 During-Disaster Integr'!$BB$28</f>
        <v>1487808</v>
      </c>
      <c r="F13" s="9"/>
      <c r="G13" s="9"/>
    </row>
    <row r="14" customFormat="false" ht="18" hidden="false" customHeight="true" outlineLevel="0" collapsed="false">
      <c r="D14" s="6" t="s">
        <v>30</v>
      </c>
      <c r="E14" s="12" t="n">
        <v>1000000</v>
      </c>
      <c r="F14" s="9"/>
      <c r="G14" s="9"/>
    </row>
    <row r="15" customFormat="false" ht="18" hidden="false" customHeight="true" outlineLevel="0" collapsed="false">
      <c r="D15" s="6" t="s">
        <v>31</v>
      </c>
      <c r="E15" s="12" t="n">
        <v>0</v>
      </c>
      <c r="F15" s="9"/>
      <c r="G15" s="9"/>
    </row>
    <row r="16" customFormat="false" ht="18" hidden="false" customHeight="true" outlineLevel="0" collapsed="false">
      <c r="D16" s="6" t="s">
        <v>32</v>
      </c>
      <c r="E16" s="13" t="n">
        <f aca="false">E14+E15</f>
        <v>1000000</v>
      </c>
      <c r="F16" s="9"/>
      <c r="G16" s="9"/>
    </row>
    <row r="17" customFormat="false" ht="18" hidden="false" customHeight="true" outlineLevel="0" collapsed="false">
      <c r="D17" s="6" t="s">
        <v>33</v>
      </c>
      <c r="E17" s="12" t="n">
        <v>176126</v>
      </c>
      <c r="F17" s="9" t="s">
        <v>34</v>
      </c>
      <c r="G17" s="9"/>
    </row>
    <row r="18" customFormat="false" ht="18" hidden="false" customHeight="true" outlineLevel="0" collapsed="false">
      <c r="D18" s="6" t="s">
        <v>35</v>
      </c>
      <c r="E18" s="12" t="n">
        <v>0</v>
      </c>
      <c r="F18" s="9"/>
      <c r="G18" s="9"/>
    </row>
    <row r="19" customFormat="false" ht="18" hidden="false" customHeight="true" outlineLevel="0" collapsed="false">
      <c r="D19" s="6" t="s">
        <v>36</v>
      </c>
      <c r="E19" s="12" t="n">
        <v>0</v>
      </c>
      <c r="F19" s="9"/>
      <c r="G19" s="9"/>
    </row>
    <row r="20" customFormat="false" ht="18" hidden="false" customHeight="true" outlineLevel="0" collapsed="false">
      <c r="D20" s="6" t="s">
        <v>37</v>
      </c>
      <c r="E20" s="13" t="n">
        <f aca="false">SUM(E17:E19)</f>
        <v>176126</v>
      </c>
      <c r="F20" s="9"/>
      <c r="G20" s="9"/>
    </row>
    <row r="21" customFormat="false" ht="18" hidden="false" customHeight="true" outlineLevel="0" collapsed="false">
      <c r="D21" s="6" t="s">
        <v>38</v>
      </c>
      <c r="E21" s="12" t="n">
        <v>0</v>
      </c>
      <c r="F21" s="9"/>
      <c r="G21" s="9"/>
    </row>
    <row r="22" customFormat="false" ht="18" hidden="false" customHeight="true" outlineLevel="0" collapsed="false">
      <c r="D22" s="6" t="s">
        <v>39</v>
      </c>
      <c r="E22" s="11" t="n">
        <f aca="false">E14/'Module 3 During-Disaster Integr'!$AZ$26</f>
        <v>4516.711833785</v>
      </c>
      <c r="F22" s="9"/>
      <c r="G22" s="9"/>
    </row>
    <row r="23" customFormat="false" ht="18" hidden="false" customHeight="true" outlineLevel="0" collapsed="false">
      <c r="D23" s="6" t="s">
        <v>40</v>
      </c>
      <c r="E23" s="14" t="n">
        <v>0.9</v>
      </c>
      <c r="F23" s="9"/>
      <c r="G23" s="9"/>
    </row>
    <row r="24" customFormat="false" ht="18" hidden="false" customHeight="true" outlineLevel="0" collapsed="false">
      <c r="D24" s="6" t="s">
        <v>41</v>
      </c>
      <c r="E24" s="14" t="n">
        <v>0.6</v>
      </c>
      <c r="F24" s="9"/>
      <c r="G24" s="9"/>
    </row>
    <row r="25" customFormat="false" ht="18" hidden="false" customHeight="true" outlineLevel="0" collapsed="false">
      <c r="D25" s="6" t="s">
        <v>42</v>
      </c>
      <c r="E25" s="8" t="s">
        <v>27</v>
      </c>
      <c r="F25" s="15" t="s">
        <v>43</v>
      </c>
      <c r="G25" s="15"/>
    </row>
    <row r="26" customFormat="false" ht="18" hidden="false" customHeight="true" outlineLevel="0" collapsed="false"/>
    <row r="27" customFormat="false" ht="18" hidden="false" customHeight="true" outlineLevel="0" collapsed="false"/>
    <row r="28" customFormat="false" ht="18" hidden="false" customHeight="true" outlineLevel="0" collapsed="false"/>
    <row r="29" customFormat="false" ht="18" hidden="false" customHeight="true" outlineLevel="0" collapsed="false"/>
  </sheetData>
  <mergeCells count="8">
    <mergeCell ref="D2:G2"/>
    <mergeCell ref="D3:E3"/>
    <mergeCell ref="F3:G3"/>
    <mergeCell ref="D11:E11"/>
    <mergeCell ref="F11:G11"/>
    <mergeCell ref="F12:G16"/>
    <mergeCell ref="F17:G24"/>
    <mergeCell ref="F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3"/>
    <col collapsed="false" customWidth="true" hidden="false" outlineLevel="0" max="3" min="3" style="1" width="11"/>
    <col collapsed="false" customWidth="true" hidden="false" outlineLevel="0" max="51" min="4" style="1" width="3.3"/>
    <col collapsed="false" customWidth="true" hidden="false" outlineLevel="0" max="52" min="52" style="1" width="11"/>
    <col collapsed="false" customWidth="true" hidden="false" outlineLevel="0" max="53" min="53" style="1" width="9"/>
    <col collapsed="false" customWidth="true" hidden="false" outlineLevel="0" max="54" min="54" style="1" width="14"/>
  </cols>
  <sheetData>
    <row r="1" customFormat="false" ht="15" hidden="false" customHeight="true" outlineLevel="0" collapsed="false">
      <c r="A1" s="16" t="s">
        <v>44</v>
      </c>
      <c r="B1" s="16"/>
      <c r="C1" s="16"/>
      <c r="D1" s="16" t="s">
        <v>45</v>
      </c>
      <c r="E1" s="16"/>
      <c r="F1" s="16"/>
      <c r="G1" s="16"/>
      <c r="H1" s="16" t="s">
        <v>46</v>
      </c>
      <c r="I1" s="16"/>
      <c r="J1" s="16"/>
      <c r="K1" s="16"/>
      <c r="L1" s="16" t="s">
        <v>47</v>
      </c>
      <c r="M1" s="16"/>
      <c r="N1" s="16"/>
      <c r="O1" s="16"/>
      <c r="P1" s="16" t="s">
        <v>48</v>
      </c>
      <c r="Q1" s="16"/>
      <c r="R1" s="16"/>
      <c r="S1" s="16"/>
      <c r="T1" s="16" t="s">
        <v>49</v>
      </c>
      <c r="U1" s="16"/>
      <c r="V1" s="16"/>
      <c r="W1" s="16"/>
      <c r="X1" s="16" t="s">
        <v>50</v>
      </c>
      <c r="Y1" s="16"/>
      <c r="Z1" s="16"/>
      <c r="AA1" s="16"/>
      <c r="AB1" s="16" t="s">
        <v>51</v>
      </c>
      <c r="AC1" s="16"/>
      <c r="AD1" s="16"/>
      <c r="AE1" s="16"/>
      <c r="AF1" s="16" t="s">
        <v>52</v>
      </c>
      <c r="AG1" s="16"/>
      <c r="AH1" s="16"/>
      <c r="AI1" s="16"/>
      <c r="AJ1" s="16" t="s">
        <v>53</v>
      </c>
      <c r="AK1" s="16"/>
      <c r="AL1" s="16"/>
      <c r="AM1" s="16"/>
      <c r="AN1" s="16" t="s">
        <v>54</v>
      </c>
      <c r="AO1" s="16"/>
      <c r="AP1" s="16"/>
      <c r="AQ1" s="16"/>
      <c r="AR1" s="16" t="s">
        <v>55</v>
      </c>
      <c r="AS1" s="16"/>
      <c r="AT1" s="16"/>
      <c r="AU1" s="16"/>
      <c r="AV1" s="16" t="s">
        <v>56</v>
      </c>
      <c r="AW1" s="16"/>
      <c r="AX1" s="16"/>
      <c r="AY1" s="16"/>
    </row>
    <row r="2" customFormat="false" ht="15.75" hidden="false" customHeight="true" outlineLevel="0" collapsed="false">
      <c r="A2" s="2" t="s">
        <v>57</v>
      </c>
      <c r="B2" s="2"/>
      <c r="C2" s="2"/>
      <c r="D2" s="17"/>
      <c r="E2" s="17"/>
      <c r="F2" s="17"/>
      <c r="G2" s="17"/>
    </row>
    <row r="3" customFormat="false" ht="15.75" hidden="false" customHeight="true" outlineLevel="0" collapsed="false">
      <c r="A3" s="2" t="s">
        <v>58</v>
      </c>
      <c r="B3" s="2"/>
      <c r="C3" s="2"/>
      <c r="H3" s="18"/>
      <c r="I3" s="18"/>
      <c r="J3" s="18"/>
      <c r="K3" s="18"/>
    </row>
    <row r="4" customFormat="false" ht="15.75" hidden="false" customHeight="true" outlineLevel="0" collapsed="false">
      <c r="A4" s="2" t="s">
        <v>59</v>
      </c>
      <c r="B4" s="2"/>
      <c r="C4" s="2"/>
      <c r="H4" s="19"/>
      <c r="I4" s="19"/>
      <c r="J4" s="19"/>
      <c r="K4" s="19"/>
      <c r="L4" s="19"/>
      <c r="M4" s="19"/>
      <c r="N4" s="19"/>
      <c r="O4" s="19"/>
    </row>
    <row r="5" customFormat="false" ht="15.75" hidden="false" customHeight="true" outlineLevel="0" collapsed="false">
      <c r="A5" s="2" t="s">
        <v>60</v>
      </c>
      <c r="B5" s="2"/>
      <c r="C5" s="2"/>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6" customFormat="false" ht="15.75" hidden="false" customHeight="true" outlineLevel="0" collapsed="false">
      <c r="A6" s="2" t="s">
        <v>61</v>
      </c>
      <c r="B6" s="2"/>
      <c r="C6" s="2"/>
      <c r="AJ6" s="21"/>
      <c r="AK6" s="21"/>
      <c r="AL6" s="21"/>
      <c r="AM6" s="21"/>
      <c r="AN6" s="21"/>
      <c r="AO6" s="21"/>
      <c r="AP6" s="21"/>
      <c r="AQ6" s="21"/>
    </row>
    <row r="7" customFormat="false" ht="15.75" hidden="false" customHeight="true" outlineLevel="0" collapsed="false">
      <c r="A7" s="2" t="s">
        <v>62</v>
      </c>
      <c r="B7" s="2"/>
      <c r="C7" s="2"/>
      <c r="AN7" s="19"/>
      <c r="AO7" s="19"/>
      <c r="AP7" s="19"/>
      <c r="AQ7" s="19"/>
      <c r="AR7" s="19"/>
      <c r="AS7" s="19"/>
      <c r="AT7" s="19"/>
      <c r="AU7" s="19"/>
      <c r="AV7" s="19"/>
      <c r="AW7" s="19"/>
      <c r="AX7" s="19"/>
      <c r="AY7" s="19"/>
    </row>
    <row r="11" customFormat="false" ht="25.5" hidden="false" customHeight="true" outlineLevel="0" collapsed="false">
      <c r="A11" s="16" t="s">
        <v>63</v>
      </c>
      <c r="B11" s="16" t="s">
        <v>4</v>
      </c>
      <c r="C11" s="16" t="s">
        <v>64</v>
      </c>
      <c r="D11" s="16" t="s">
        <v>45</v>
      </c>
      <c r="E11" s="16"/>
      <c r="F11" s="16"/>
      <c r="G11" s="16"/>
      <c r="H11" s="16" t="s">
        <v>46</v>
      </c>
      <c r="I11" s="16"/>
      <c r="J11" s="16"/>
      <c r="K11" s="16"/>
      <c r="L11" s="16" t="s">
        <v>47</v>
      </c>
      <c r="M11" s="16"/>
      <c r="N11" s="16"/>
      <c r="O11" s="16"/>
      <c r="P11" s="16" t="s">
        <v>48</v>
      </c>
      <c r="Q11" s="16"/>
      <c r="R11" s="16"/>
      <c r="S11" s="16"/>
      <c r="T11" s="16" t="s">
        <v>49</v>
      </c>
      <c r="U11" s="16"/>
      <c r="V11" s="16"/>
      <c r="W11" s="16"/>
      <c r="X11" s="16" t="s">
        <v>50</v>
      </c>
      <c r="Y11" s="16"/>
      <c r="Z11" s="16"/>
      <c r="AA11" s="16"/>
      <c r="AB11" s="16" t="s">
        <v>51</v>
      </c>
      <c r="AC11" s="16"/>
      <c r="AD11" s="16"/>
      <c r="AE11" s="16"/>
      <c r="AF11" s="16" t="s">
        <v>52</v>
      </c>
      <c r="AG11" s="16"/>
      <c r="AH11" s="16"/>
      <c r="AI11" s="16"/>
      <c r="AJ11" s="16" t="s">
        <v>53</v>
      </c>
      <c r="AK11" s="16"/>
      <c r="AL11" s="16"/>
      <c r="AM11" s="16"/>
      <c r="AN11" s="16" t="s">
        <v>54</v>
      </c>
      <c r="AO11" s="16"/>
      <c r="AP11" s="16"/>
      <c r="AQ11" s="16"/>
      <c r="AR11" s="16" t="s">
        <v>55</v>
      </c>
      <c r="AS11" s="16"/>
      <c r="AT11" s="16"/>
      <c r="AU11" s="16"/>
      <c r="AV11" s="16" t="s">
        <v>56</v>
      </c>
      <c r="AW11" s="16"/>
      <c r="AX11" s="16"/>
      <c r="AY11" s="16"/>
      <c r="AZ11" s="16" t="s">
        <v>65</v>
      </c>
      <c r="BA11" s="16" t="s">
        <v>66</v>
      </c>
      <c r="BB11" s="16" t="s">
        <v>67</v>
      </c>
    </row>
    <row r="12" customFormat="false" ht="15" hidden="false" customHeight="true" outlineLevel="0" collapsed="false">
      <c r="A12" s="22" t="s">
        <v>22</v>
      </c>
      <c r="B12" s="23" t="s">
        <v>5</v>
      </c>
      <c r="C12" s="22" t="s">
        <v>68</v>
      </c>
      <c r="D12" s="24" t="n">
        <v>0.3</v>
      </c>
      <c r="E12" s="24"/>
      <c r="F12" s="24"/>
      <c r="G12" s="24"/>
      <c r="H12" s="24" t="n">
        <v>0.3</v>
      </c>
      <c r="I12" s="24"/>
      <c r="J12" s="24"/>
      <c r="K12" s="24"/>
      <c r="L12" s="24" t="n">
        <v>0.3</v>
      </c>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t="n">
        <v>0.1</v>
      </c>
      <c r="AW12" s="24"/>
      <c r="AX12" s="24"/>
      <c r="AY12" s="24"/>
      <c r="AZ12" s="25" t="n">
        <f aca="false">SUM(D12:AY12)</f>
        <v>1</v>
      </c>
      <c r="BA12" s="26" t="n">
        <v>40</v>
      </c>
      <c r="BB12" s="27" t="n">
        <f aca="false">AZ12*BA12*$BB$30</f>
        <v>6720</v>
      </c>
    </row>
    <row r="13" customFormat="false" ht="15" hidden="false" customHeight="true" outlineLevel="0" collapsed="false">
      <c r="A13" s="22" t="s">
        <v>69</v>
      </c>
      <c r="B13" s="23" t="s">
        <v>5</v>
      </c>
      <c r="C13" s="22" t="s">
        <v>68</v>
      </c>
      <c r="D13" s="24" t="n">
        <v>1</v>
      </c>
      <c r="E13" s="24"/>
      <c r="F13" s="24"/>
      <c r="G13" s="24"/>
      <c r="H13" s="24" t="n">
        <v>1</v>
      </c>
      <c r="I13" s="24"/>
      <c r="J13" s="24"/>
      <c r="K13" s="24"/>
      <c r="L13" s="24" t="n">
        <v>1</v>
      </c>
      <c r="M13" s="24"/>
      <c r="N13" s="24"/>
      <c r="O13" s="24"/>
      <c r="P13" s="24" t="n">
        <v>0.75</v>
      </c>
      <c r="Q13" s="24"/>
      <c r="R13" s="24"/>
      <c r="S13" s="24"/>
      <c r="T13" s="24" t="n">
        <v>0.75</v>
      </c>
      <c r="U13" s="24"/>
      <c r="V13" s="24"/>
      <c r="W13" s="24"/>
      <c r="X13" s="24" t="n">
        <v>0.75</v>
      </c>
      <c r="Y13" s="24"/>
      <c r="Z13" s="24"/>
      <c r="AA13" s="24"/>
      <c r="AB13" s="24" t="n">
        <v>0.5</v>
      </c>
      <c r="AC13" s="24"/>
      <c r="AD13" s="24"/>
      <c r="AE13" s="24"/>
      <c r="AF13" s="24" t="n">
        <v>0.5</v>
      </c>
      <c r="AG13" s="24"/>
      <c r="AH13" s="24"/>
      <c r="AI13" s="24"/>
      <c r="AJ13" s="24" t="n">
        <v>0.5</v>
      </c>
      <c r="AK13" s="24"/>
      <c r="AL13" s="24"/>
      <c r="AM13" s="24"/>
      <c r="AN13" s="24" t="n">
        <v>0.3</v>
      </c>
      <c r="AO13" s="24"/>
      <c r="AP13" s="24"/>
      <c r="AQ13" s="24"/>
      <c r="AR13" s="24" t="n">
        <v>0.3</v>
      </c>
      <c r="AS13" s="24"/>
      <c r="AT13" s="24"/>
      <c r="AU13" s="24"/>
      <c r="AV13" s="24" t="n">
        <v>0.3</v>
      </c>
      <c r="AW13" s="24"/>
      <c r="AX13" s="24"/>
      <c r="AY13" s="24"/>
      <c r="AZ13" s="25" t="n">
        <f aca="false">SUM(D13:AY13)</f>
        <v>7.65</v>
      </c>
      <c r="BA13" s="26" t="n">
        <v>40</v>
      </c>
      <c r="BB13" s="27" t="n">
        <f aca="false">AZ13*BA13*$BB$30</f>
        <v>51408</v>
      </c>
    </row>
    <row r="14" customFormat="false" ht="15" hidden="false" customHeight="true" outlineLevel="0" collapsed="false">
      <c r="A14" s="22" t="s">
        <v>70</v>
      </c>
      <c r="B14" s="23" t="s">
        <v>5</v>
      </c>
      <c r="C14" s="22" t="s">
        <v>68</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5" t="n">
        <f aca="false">SUM(D14:AY14)</f>
        <v>0</v>
      </c>
      <c r="BA14" s="26" t="n">
        <v>40</v>
      </c>
      <c r="BB14" s="27" t="n">
        <f aca="false">AZ14*BA14*$BB$30</f>
        <v>0</v>
      </c>
    </row>
    <row r="15" customFormat="false" ht="15" hidden="false" customHeight="true" outlineLevel="0" collapsed="false">
      <c r="A15" s="22" t="s">
        <v>71</v>
      </c>
      <c r="B15" s="23" t="s">
        <v>5</v>
      </c>
      <c r="C15" s="22" t="s">
        <v>68</v>
      </c>
      <c r="D15" s="24" t="n">
        <v>1</v>
      </c>
      <c r="E15" s="24"/>
      <c r="F15" s="24"/>
      <c r="G15" s="24"/>
      <c r="H15" s="24" t="n">
        <v>1</v>
      </c>
      <c r="I15" s="24"/>
      <c r="J15" s="24"/>
      <c r="K15" s="24"/>
      <c r="L15" s="24" t="n">
        <v>1</v>
      </c>
      <c r="M15" s="24"/>
      <c r="N15" s="24"/>
      <c r="O15" s="24"/>
      <c r="P15" s="24" t="n">
        <v>1</v>
      </c>
      <c r="Q15" s="24"/>
      <c r="R15" s="24"/>
      <c r="S15" s="24"/>
      <c r="T15" s="24" t="n">
        <v>1</v>
      </c>
      <c r="U15" s="24"/>
      <c r="V15" s="24"/>
      <c r="W15" s="24"/>
      <c r="X15" s="24" t="n">
        <v>1</v>
      </c>
      <c r="Y15" s="24"/>
      <c r="Z15" s="24"/>
      <c r="AA15" s="24"/>
      <c r="AB15" s="24" t="n">
        <v>1</v>
      </c>
      <c r="AC15" s="24"/>
      <c r="AD15" s="24"/>
      <c r="AE15" s="24"/>
      <c r="AF15" s="24" t="n">
        <v>1</v>
      </c>
      <c r="AG15" s="24"/>
      <c r="AH15" s="24"/>
      <c r="AI15" s="24"/>
      <c r="AJ15" s="24" t="n">
        <v>1</v>
      </c>
      <c r="AK15" s="24"/>
      <c r="AL15" s="24"/>
      <c r="AM15" s="24"/>
      <c r="AN15" s="24" t="n">
        <v>0.5</v>
      </c>
      <c r="AO15" s="24"/>
      <c r="AP15" s="24"/>
      <c r="AQ15" s="24"/>
      <c r="AR15" s="24" t="n">
        <v>0.5</v>
      </c>
      <c r="AS15" s="24"/>
      <c r="AT15" s="24"/>
      <c r="AU15" s="24"/>
      <c r="AV15" s="24" t="n">
        <v>0.5</v>
      </c>
      <c r="AW15" s="24"/>
      <c r="AX15" s="24"/>
      <c r="AY15" s="24"/>
      <c r="AZ15" s="25" t="n">
        <f aca="false">SUM(D15:AY15)</f>
        <v>10.5</v>
      </c>
      <c r="BA15" s="26" t="n">
        <v>40</v>
      </c>
      <c r="BB15" s="27" t="n">
        <f aca="false">AZ15*BA15*$BB$30</f>
        <v>70560</v>
      </c>
    </row>
    <row r="16" customFormat="false" ht="15" hidden="false" customHeight="true" outlineLevel="0" collapsed="false">
      <c r="A16" s="22" t="s">
        <v>72</v>
      </c>
      <c r="B16" s="23" t="s">
        <v>5</v>
      </c>
      <c r="C16" s="22" t="s">
        <v>68</v>
      </c>
      <c r="D16" s="24"/>
      <c r="E16" s="24"/>
      <c r="F16" s="24"/>
      <c r="G16" s="24"/>
      <c r="H16" s="24"/>
      <c r="I16" s="24"/>
      <c r="J16" s="24"/>
      <c r="K16" s="24"/>
      <c r="L16" s="24"/>
      <c r="M16" s="24"/>
      <c r="N16" s="24"/>
      <c r="O16" s="24"/>
      <c r="P16" s="24" t="n">
        <v>0.75</v>
      </c>
      <c r="Q16" s="24"/>
      <c r="R16" s="24"/>
      <c r="S16" s="24"/>
      <c r="T16" s="24" t="n">
        <v>1</v>
      </c>
      <c r="U16" s="24"/>
      <c r="V16" s="24"/>
      <c r="W16" s="24"/>
      <c r="X16" s="24" t="n">
        <v>1</v>
      </c>
      <c r="Y16" s="24"/>
      <c r="Z16" s="24"/>
      <c r="AA16" s="24"/>
      <c r="AB16" s="24" t="n">
        <v>1</v>
      </c>
      <c r="AC16" s="24"/>
      <c r="AD16" s="24"/>
      <c r="AE16" s="24"/>
      <c r="AF16" s="24" t="n">
        <v>0.75</v>
      </c>
      <c r="AG16" s="24"/>
      <c r="AH16" s="24"/>
      <c r="AI16" s="24"/>
      <c r="AJ16" s="24" t="n">
        <v>0.5</v>
      </c>
      <c r="AK16" s="24"/>
      <c r="AL16" s="24"/>
      <c r="AM16" s="24"/>
      <c r="AN16" s="24" t="n">
        <v>0.25</v>
      </c>
      <c r="AO16" s="24"/>
      <c r="AP16" s="24"/>
      <c r="AQ16" s="24"/>
      <c r="AR16" s="24"/>
      <c r="AS16" s="24"/>
      <c r="AT16" s="24"/>
      <c r="AU16" s="24"/>
      <c r="AV16" s="24"/>
      <c r="AW16" s="24"/>
      <c r="AX16" s="24"/>
      <c r="AY16" s="24"/>
      <c r="AZ16" s="25" t="n">
        <f aca="false">SUM(D16:AY16)</f>
        <v>5.25</v>
      </c>
      <c r="BA16" s="26" t="n">
        <v>40</v>
      </c>
      <c r="BB16" s="27" t="n">
        <f aca="false">AZ16*BA16*$BB$30</f>
        <v>35280</v>
      </c>
    </row>
    <row r="17" customFormat="false" ht="15" hidden="false" customHeight="true" outlineLevel="0" collapsed="false">
      <c r="A17" s="22" t="s">
        <v>73</v>
      </c>
      <c r="B17" s="23" t="s">
        <v>5</v>
      </c>
      <c r="C17" s="22" t="s">
        <v>68</v>
      </c>
      <c r="D17" s="24"/>
      <c r="E17" s="24"/>
      <c r="F17" s="24"/>
      <c r="G17" s="24"/>
      <c r="H17" s="24"/>
      <c r="I17" s="24"/>
      <c r="J17" s="24"/>
      <c r="K17" s="24"/>
      <c r="L17" s="24"/>
      <c r="M17" s="24"/>
      <c r="N17" s="24"/>
      <c r="O17" s="24"/>
      <c r="P17" s="24" t="n">
        <v>1</v>
      </c>
      <c r="Q17" s="24"/>
      <c r="R17" s="24"/>
      <c r="S17" s="24"/>
      <c r="T17" s="24" t="n">
        <v>1</v>
      </c>
      <c r="U17" s="24"/>
      <c r="V17" s="24"/>
      <c r="W17" s="24"/>
      <c r="X17" s="24" t="n">
        <v>1</v>
      </c>
      <c r="Y17" s="24"/>
      <c r="Z17" s="24"/>
      <c r="AA17" s="24"/>
      <c r="AB17" s="24" t="n">
        <v>1</v>
      </c>
      <c r="AC17" s="24"/>
      <c r="AD17" s="24"/>
      <c r="AE17" s="24"/>
      <c r="AF17" s="24" t="n">
        <v>0.75</v>
      </c>
      <c r="AG17" s="24"/>
      <c r="AH17" s="24"/>
      <c r="AI17" s="24"/>
      <c r="AJ17" s="24" t="n">
        <v>0.5</v>
      </c>
      <c r="AK17" s="24"/>
      <c r="AL17" s="24"/>
      <c r="AM17" s="24"/>
      <c r="AN17" s="24" t="n">
        <v>0.25</v>
      </c>
      <c r="AO17" s="24"/>
      <c r="AP17" s="24"/>
      <c r="AQ17" s="24"/>
      <c r="AR17" s="24"/>
      <c r="AS17" s="24"/>
      <c r="AT17" s="24"/>
      <c r="AU17" s="24"/>
      <c r="AV17" s="24"/>
      <c r="AW17" s="24"/>
      <c r="AX17" s="24"/>
      <c r="AY17" s="24"/>
      <c r="AZ17" s="25" t="n">
        <f aca="false">SUM(D17:AY17)</f>
        <v>5.5</v>
      </c>
      <c r="BA17" s="26" t="n">
        <v>40</v>
      </c>
      <c r="BB17" s="27" t="n">
        <f aca="false">AZ17*BA17*$BB$30</f>
        <v>36960</v>
      </c>
    </row>
    <row r="18" customFormat="false" ht="15" hidden="false" customHeight="true" outlineLevel="0" collapsed="false">
      <c r="A18" s="22" t="s">
        <v>74</v>
      </c>
      <c r="B18" s="23" t="s">
        <v>5</v>
      </c>
      <c r="C18" s="22" t="s">
        <v>68</v>
      </c>
      <c r="D18" s="24" t="n">
        <v>1</v>
      </c>
      <c r="E18" s="24"/>
      <c r="F18" s="24"/>
      <c r="G18" s="24"/>
      <c r="H18" s="24" t="n">
        <v>1</v>
      </c>
      <c r="I18" s="24"/>
      <c r="J18" s="24"/>
      <c r="K18" s="24"/>
      <c r="L18" s="24" t="n">
        <v>1</v>
      </c>
      <c r="M18" s="24"/>
      <c r="N18" s="24"/>
      <c r="O18" s="24"/>
      <c r="P18" s="24" t="n">
        <v>1</v>
      </c>
      <c r="Q18" s="24"/>
      <c r="R18" s="24"/>
      <c r="S18" s="24"/>
      <c r="T18" s="24" t="n">
        <v>1</v>
      </c>
      <c r="U18" s="24"/>
      <c r="V18" s="24"/>
      <c r="W18" s="24"/>
      <c r="X18" s="24" t="n">
        <v>1</v>
      </c>
      <c r="Y18" s="24"/>
      <c r="Z18" s="24"/>
      <c r="AA18" s="24"/>
      <c r="AB18" s="24" t="n">
        <v>1</v>
      </c>
      <c r="AC18" s="24"/>
      <c r="AD18" s="24"/>
      <c r="AE18" s="24"/>
      <c r="AF18" s="24" t="n">
        <v>1</v>
      </c>
      <c r="AG18" s="24"/>
      <c r="AH18" s="24"/>
      <c r="AI18" s="24"/>
      <c r="AJ18" s="24" t="n">
        <v>1</v>
      </c>
      <c r="AK18" s="24"/>
      <c r="AL18" s="24"/>
      <c r="AM18" s="24"/>
      <c r="AN18" s="24" t="n">
        <v>0.75</v>
      </c>
      <c r="AO18" s="24"/>
      <c r="AP18" s="24"/>
      <c r="AQ18" s="24"/>
      <c r="AR18" s="24" t="n">
        <v>0.75</v>
      </c>
      <c r="AS18" s="24"/>
      <c r="AT18" s="24"/>
      <c r="AU18" s="24"/>
      <c r="AV18" s="24" t="n">
        <v>0.5</v>
      </c>
      <c r="AW18" s="24"/>
      <c r="AX18" s="24"/>
      <c r="AY18" s="24"/>
      <c r="AZ18" s="25" t="n">
        <f aca="false">SUM(D18:AY18)</f>
        <v>11</v>
      </c>
      <c r="BA18" s="26" t="n">
        <v>40</v>
      </c>
      <c r="BB18" s="27" t="n">
        <f aca="false">AZ18*BA18*$BB$30</f>
        <v>73920</v>
      </c>
    </row>
    <row r="19" customFormat="false" ht="15" hidden="false" customHeight="true" outlineLevel="0" collapsed="false">
      <c r="A19" s="22" t="s">
        <v>75</v>
      </c>
      <c r="B19" s="23" t="s">
        <v>5</v>
      </c>
      <c r="C19" s="22" t="s">
        <v>68</v>
      </c>
      <c r="D19" s="24" t="n">
        <v>1</v>
      </c>
      <c r="E19" s="24"/>
      <c r="F19" s="24"/>
      <c r="G19" s="24"/>
      <c r="H19" s="24" t="n">
        <v>1</v>
      </c>
      <c r="I19" s="24"/>
      <c r="J19" s="24"/>
      <c r="K19" s="24"/>
      <c r="L19" s="24" t="n">
        <v>1</v>
      </c>
      <c r="M19" s="24"/>
      <c r="N19" s="24"/>
      <c r="O19" s="24"/>
      <c r="P19" s="24" t="n">
        <v>1</v>
      </c>
      <c r="Q19" s="24"/>
      <c r="R19" s="24"/>
      <c r="S19" s="24"/>
      <c r="T19" s="24" t="n">
        <v>1</v>
      </c>
      <c r="U19" s="24"/>
      <c r="V19" s="24"/>
      <c r="W19" s="24"/>
      <c r="X19" s="24" t="n">
        <v>1</v>
      </c>
      <c r="Y19" s="24"/>
      <c r="Z19" s="24"/>
      <c r="AA19" s="24"/>
      <c r="AB19" s="24" t="n">
        <v>1</v>
      </c>
      <c r="AC19" s="24"/>
      <c r="AD19" s="24"/>
      <c r="AE19" s="24"/>
      <c r="AF19" s="24" t="n">
        <v>1</v>
      </c>
      <c r="AG19" s="24"/>
      <c r="AH19" s="24"/>
      <c r="AI19" s="24"/>
      <c r="AJ19" s="24" t="n">
        <v>0.75</v>
      </c>
      <c r="AK19" s="24"/>
      <c r="AL19" s="24"/>
      <c r="AM19" s="24"/>
      <c r="AN19" s="24" t="n">
        <v>0.5</v>
      </c>
      <c r="AO19" s="24"/>
      <c r="AP19" s="24"/>
      <c r="AQ19" s="24"/>
      <c r="AR19" s="24" t="n">
        <v>0.25</v>
      </c>
      <c r="AS19" s="24"/>
      <c r="AT19" s="24"/>
      <c r="AU19" s="24"/>
      <c r="AV19" s="24" t="n">
        <v>0.25</v>
      </c>
      <c r="AW19" s="24"/>
      <c r="AX19" s="24"/>
      <c r="AY19" s="24"/>
      <c r="AZ19" s="25" t="n">
        <f aca="false">SUM(D19:AY19)</f>
        <v>9.75</v>
      </c>
      <c r="BA19" s="26" t="n">
        <v>40</v>
      </c>
      <c r="BB19" s="27" t="n">
        <f aca="false">AZ19*BA19*$BB$30</f>
        <v>65520</v>
      </c>
    </row>
    <row r="20" customFormat="false" ht="15" hidden="false" customHeight="true" outlineLevel="0" collapsed="false">
      <c r="A20" s="22" t="s">
        <v>76</v>
      </c>
      <c r="B20" s="23" t="s">
        <v>5</v>
      </c>
      <c r="C20" s="22" t="s">
        <v>68</v>
      </c>
      <c r="D20" s="24" t="n">
        <v>1</v>
      </c>
      <c r="E20" s="24"/>
      <c r="F20" s="24"/>
      <c r="G20" s="24"/>
      <c r="H20" s="24" t="n">
        <v>1</v>
      </c>
      <c r="I20" s="24"/>
      <c r="J20" s="24"/>
      <c r="K20" s="24"/>
      <c r="L20" s="24" t="n">
        <v>1</v>
      </c>
      <c r="M20" s="24"/>
      <c r="N20" s="24"/>
      <c r="O20" s="24"/>
      <c r="P20" s="24" t="n">
        <v>1</v>
      </c>
      <c r="Q20" s="24"/>
      <c r="R20" s="24"/>
      <c r="S20" s="24"/>
      <c r="T20" s="24" t="n">
        <v>1</v>
      </c>
      <c r="U20" s="24"/>
      <c r="V20" s="24"/>
      <c r="W20" s="24"/>
      <c r="X20" s="24" t="n">
        <v>1</v>
      </c>
      <c r="Y20" s="24"/>
      <c r="Z20" s="24"/>
      <c r="AA20" s="24"/>
      <c r="AB20" s="24" t="n">
        <v>1</v>
      </c>
      <c r="AC20" s="24"/>
      <c r="AD20" s="24"/>
      <c r="AE20" s="24"/>
      <c r="AF20" s="24" t="n">
        <v>1</v>
      </c>
      <c r="AG20" s="24"/>
      <c r="AH20" s="24"/>
      <c r="AI20" s="24"/>
      <c r="AJ20" s="24" t="n">
        <v>1</v>
      </c>
      <c r="AK20" s="24"/>
      <c r="AL20" s="24"/>
      <c r="AM20" s="24"/>
      <c r="AN20" s="24" t="n">
        <v>0.75</v>
      </c>
      <c r="AO20" s="24"/>
      <c r="AP20" s="24"/>
      <c r="AQ20" s="24"/>
      <c r="AR20" s="24" t="n">
        <v>0.5</v>
      </c>
      <c r="AS20" s="24"/>
      <c r="AT20" s="24"/>
      <c r="AU20" s="24"/>
      <c r="AV20" s="24" t="n">
        <v>0.3</v>
      </c>
      <c r="AW20" s="24"/>
      <c r="AX20" s="24"/>
      <c r="AY20" s="24"/>
      <c r="AZ20" s="25" t="n">
        <f aca="false">SUM(D20:AY20)</f>
        <v>10.55</v>
      </c>
      <c r="BA20" s="26" t="n">
        <v>40</v>
      </c>
      <c r="BB20" s="27" t="n">
        <f aca="false">AZ20*BA20*$BB$30</f>
        <v>70896</v>
      </c>
    </row>
    <row r="21" customFormat="false" ht="15" hidden="false" customHeight="true" outlineLevel="0" collapsed="false">
      <c r="A21" s="22" t="s">
        <v>77</v>
      </c>
      <c r="B21" s="23" t="s">
        <v>5</v>
      </c>
      <c r="C21" s="22" t="s">
        <v>68</v>
      </c>
      <c r="D21" s="24"/>
      <c r="E21" s="24"/>
      <c r="F21" s="24"/>
      <c r="G21" s="24"/>
      <c r="H21" s="24" t="n">
        <v>2</v>
      </c>
      <c r="I21" s="24"/>
      <c r="J21" s="24"/>
      <c r="K21" s="24"/>
      <c r="L21" s="24" t="n">
        <v>2</v>
      </c>
      <c r="M21" s="24"/>
      <c r="N21" s="24"/>
      <c r="O21" s="24"/>
      <c r="P21" s="24" t="n">
        <v>2</v>
      </c>
      <c r="Q21" s="24"/>
      <c r="R21" s="24"/>
      <c r="S21" s="24"/>
      <c r="T21" s="24" t="n">
        <v>2</v>
      </c>
      <c r="U21" s="24"/>
      <c r="V21" s="24"/>
      <c r="W21" s="24"/>
      <c r="X21" s="24" t="n">
        <v>2</v>
      </c>
      <c r="Y21" s="24"/>
      <c r="Z21" s="24"/>
      <c r="AA21" s="24"/>
      <c r="AB21" s="24" t="n">
        <v>1</v>
      </c>
      <c r="AC21" s="24"/>
      <c r="AD21" s="24"/>
      <c r="AE21" s="24"/>
      <c r="AF21" s="24" t="n">
        <v>1</v>
      </c>
      <c r="AG21" s="24"/>
      <c r="AH21" s="24"/>
      <c r="AI21" s="24"/>
      <c r="AJ21" s="24" t="n">
        <v>1</v>
      </c>
      <c r="AK21" s="24"/>
      <c r="AL21" s="24"/>
      <c r="AM21" s="24"/>
      <c r="AN21" s="24" t="n">
        <v>1</v>
      </c>
      <c r="AO21" s="24"/>
      <c r="AP21" s="24"/>
      <c r="AQ21" s="24"/>
      <c r="AR21" s="24" t="n">
        <v>1</v>
      </c>
      <c r="AS21" s="24"/>
      <c r="AT21" s="24"/>
      <c r="AU21" s="24"/>
      <c r="AV21" s="24" t="n">
        <v>0.75</v>
      </c>
      <c r="AW21" s="24"/>
      <c r="AX21" s="24"/>
      <c r="AY21" s="24"/>
      <c r="AZ21" s="25" t="n">
        <f aca="false">SUM(D21:AY21)</f>
        <v>15.75</v>
      </c>
      <c r="BA21" s="26" t="n">
        <v>40</v>
      </c>
      <c r="BB21" s="27" t="n">
        <f aca="false">AZ21*BA21*$BB$30</f>
        <v>105840</v>
      </c>
    </row>
    <row r="22" customFormat="false" ht="15" hidden="false" customHeight="true" outlineLevel="0" collapsed="false">
      <c r="A22" s="22" t="s">
        <v>78</v>
      </c>
      <c r="B22" s="23" t="s">
        <v>5</v>
      </c>
      <c r="C22" s="22" t="s">
        <v>68</v>
      </c>
      <c r="D22" s="24"/>
      <c r="E22" s="24"/>
      <c r="F22" s="24"/>
      <c r="G22" s="24"/>
      <c r="H22" s="24"/>
      <c r="I22" s="24"/>
      <c r="J22" s="24"/>
      <c r="K22" s="24"/>
      <c r="L22" s="24"/>
      <c r="M22" s="24"/>
      <c r="N22" s="24"/>
      <c r="O22" s="24"/>
      <c r="P22" s="24"/>
      <c r="Q22" s="24"/>
      <c r="R22" s="24"/>
      <c r="S22" s="24"/>
      <c r="T22" s="24"/>
      <c r="U22" s="24"/>
      <c r="V22" s="24"/>
      <c r="W22" s="24"/>
      <c r="X22" s="24" t="n">
        <v>1</v>
      </c>
      <c r="Y22" s="24"/>
      <c r="Z22" s="24"/>
      <c r="AA22" s="24"/>
      <c r="AB22" s="24" t="n">
        <v>1</v>
      </c>
      <c r="AC22" s="24"/>
      <c r="AD22" s="24"/>
      <c r="AE22" s="24"/>
      <c r="AF22" s="24" t="n">
        <v>1</v>
      </c>
      <c r="AG22" s="24"/>
      <c r="AH22" s="24"/>
      <c r="AI22" s="24"/>
      <c r="AJ22" s="24" t="n">
        <v>1</v>
      </c>
      <c r="AK22" s="24"/>
      <c r="AL22" s="24"/>
      <c r="AM22" s="24"/>
      <c r="AN22" s="24" t="n">
        <v>1</v>
      </c>
      <c r="AO22" s="24"/>
      <c r="AP22" s="24"/>
      <c r="AQ22" s="24"/>
      <c r="AR22" s="24" t="n">
        <v>1</v>
      </c>
      <c r="AS22" s="24"/>
      <c r="AT22" s="24"/>
      <c r="AU22" s="24"/>
      <c r="AV22" s="24" t="n">
        <v>1</v>
      </c>
      <c r="AW22" s="24"/>
      <c r="AX22" s="24"/>
      <c r="AY22" s="24"/>
      <c r="AZ22" s="25" t="n">
        <f aca="false">SUM(D22:AY22)</f>
        <v>7</v>
      </c>
      <c r="BA22" s="26" t="n">
        <v>40</v>
      </c>
      <c r="BB22" s="27" t="n">
        <f aca="false">AZ22*BA22*$BB$30</f>
        <v>47040</v>
      </c>
    </row>
    <row r="23" customFormat="false" ht="15" hidden="false" customHeight="true" outlineLevel="0" collapsed="false">
      <c r="A23" s="22" t="s">
        <v>79</v>
      </c>
      <c r="B23" s="23" t="s">
        <v>5</v>
      </c>
      <c r="C23" s="22" t="s">
        <v>68</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t="n">
        <v>1</v>
      </c>
      <c r="AK23" s="24"/>
      <c r="AL23" s="24"/>
      <c r="AM23" s="24"/>
      <c r="AN23" s="24" t="n">
        <v>1</v>
      </c>
      <c r="AO23" s="24"/>
      <c r="AP23" s="24"/>
      <c r="AQ23" s="24"/>
      <c r="AR23" s="24" t="n">
        <v>1</v>
      </c>
      <c r="AS23" s="24"/>
      <c r="AT23" s="24"/>
      <c r="AU23" s="24"/>
      <c r="AV23" s="24" t="n">
        <v>0.75</v>
      </c>
      <c r="AW23" s="24"/>
      <c r="AX23" s="24"/>
      <c r="AY23" s="24"/>
      <c r="AZ23" s="25" t="n">
        <f aca="false">SUM(D23:AY23)</f>
        <v>3.75</v>
      </c>
      <c r="BA23" s="26" t="n">
        <v>40</v>
      </c>
      <c r="BB23" s="27" t="n">
        <f aca="false">AZ23*BA23*$BB$30</f>
        <v>25200</v>
      </c>
    </row>
    <row r="24" customFormat="false" ht="15" hidden="false" customHeight="true" outlineLevel="0" collapsed="false">
      <c r="A24" s="22"/>
      <c r="B24" s="23" t="s">
        <v>5</v>
      </c>
      <c r="C24" s="22"/>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5" t="n">
        <f aca="false">SUM(D24:AY24)</f>
        <v>0</v>
      </c>
      <c r="BA24" s="26" t="n">
        <v>0</v>
      </c>
      <c r="BB24" s="27" t="n">
        <f aca="false">AZ24*BA24*$BB$30</f>
        <v>0</v>
      </c>
    </row>
    <row r="25" customFormat="false" ht="15" hidden="false" customHeight="true" outlineLevel="0" collapsed="false">
      <c r="A25" s="22"/>
      <c r="B25" s="23" t="s">
        <v>5</v>
      </c>
      <c r="C25" s="22"/>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5" t="n">
        <f aca="false">SUM(D25:AY25)</f>
        <v>0</v>
      </c>
      <c r="BA25" s="26" t="n">
        <v>0</v>
      </c>
      <c r="BB25" s="27" t="n">
        <f aca="false">AZ25*BA25*$BB$30</f>
        <v>0</v>
      </c>
    </row>
    <row r="26" customFormat="false" ht="15" hidden="false" customHeight="true" outlineLevel="0" collapsed="false">
      <c r="A26" s="28" t="s">
        <v>80</v>
      </c>
      <c r="B26" s="28"/>
      <c r="C26" s="28"/>
      <c r="D26" s="29" t="n">
        <f aca="false">SUM(D12:D25)</f>
        <v>5.3</v>
      </c>
      <c r="E26" s="29"/>
      <c r="F26" s="29"/>
      <c r="G26" s="29"/>
      <c r="H26" s="29" t="n">
        <f aca="false">SUM(H12:H25)</f>
        <v>7.3</v>
      </c>
      <c r="I26" s="29"/>
      <c r="J26" s="29"/>
      <c r="K26" s="29"/>
      <c r="L26" s="29" t="n">
        <f aca="false">SUM(L12:L25)</f>
        <v>7.3</v>
      </c>
      <c r="M26" s="29"/>
      <c r="N26" s="29"/>
      <c r="O26" s="29"/>
      <c r="P26" s="29" t="n">
        <f aca="false">SUM(P12:P25)</f>
        <v>8.5</v>
      </c>
      <c r="Q26" s="29"/>
      <c r="R26" s="29"/>
      <c r="S26" s="29"/>
      <c r="T26" s="29" t="n">
        <f aca="false">SUM(T12:T25)</f>
        <v>8.75</v>
      </c>
      <c r="U26" s="29"/>
      <c r="V26" s="29"/>
      <c r="W26" s="29"/>
      <c r="X26" s="29" t="n">
        <f aca="false">SUM(X12:X25)</f>
        <v>9.75</v>
      </c>
      <c r="Y26" s="29"/>
      <c r="Z26" s="29"/>
      <c r="AA26" s="29"/>
      <c r="AB26" s="29" t="n">
        <f aca="false">SUM(AB12:AB25)</f>
        <v>8.5</v>
      </c>
      <c r="AC26" s="29"/>
      <c r="AD26" s="29"/>
      <c r="AE26" s="29"/>
      <c r="AF26" s="29" t="n">
        <f aca="false">SUM(AF12:AF25)</f>
        <v>8</v>
      </c>
      <c r="AG26" s="29"/>
      <c r="AH26" s="29"/>
      <c r="AI26" s="29"/>
      <c r="AJ26" s="29" t="n">
        <f aca="false">SUM(AJ12:AJ25)</f>
        <v>8.25</v>
      </c>
      <c r="AK26" s="29"/>
      <c r="AL26" s="29"/>
      <c r="AM26" s="29"/>
      <c r="AN26" s="29" t="n">
        <f aca="false">SUM(AN12:AN25)</f>
        <v>6.3</v>
      </c>
      <c r="AO26" s="29"/>
      <c r="AP26" s="29"/>
      <c r="AQ26" s="29"/>
      <c r="AR26" s="29" t="n">
        <f aca="false">SUM(AR12:AR25)</f>
        <v>5.3</v>
      </c>
      <c r="AS26" s="29"/>
      <c r="AT26" s="29"/>
      <c r="AU26" s="29"/>
      <c r="AV26" s="29" t="n">
        <f aca="false">SUM(AV12:AV25)</f>
        <v>4.45</v>
      </c>
      <c r="AW26" s="29"/>
      <c r="AX26" s="29"/>
      <c r="AY26" s="29"/>
      <c r="AZ26" s="29" t="n">
        <f aca="false">SUM(AZ12:AZ25)</f>
        <v>87.7</v>
      </c>
      <c r="BA26" s="30"/>
      <c r="BB26" s="31" t="n">
        <f aca="false">SUM(BB12:BB25)</f>
        <v>589344</v>
      </c>
    </row>
    <row r="27" customFormat="false" ht="15" hidden="false" customHeight="true" outlineLevel="0" collapsed="false">
      <c r="A27" s="32" t="s">
        <v>81</v>
      </c>
      <c r="B27" s="32"/>
      <c r="C27" s="32"/>
      <c r="D27" s="32"/>
      <c r="E27" s="32"/>
      <c r="F27" s="32"/>
      <c r="G27" s="32"/>
      <c r="H27" s="32"/>
      <c r="I27" s="32"/>
      <c r="J27" s="32"/>
      <c r="K27" s="32"/>
      <c r="L27" s="32"/>
      <c r="M27" s="32"/>
      <c r="N27" s="32"/>
      <c r="O27" s="32"/>
      <c r="P27" s="32"/>
      <c r="Q27" s="32"/>
      <c r="R27" s="32"/>
      <c r="S27" s="32"/>
      <c r="T27" s="32"/>
    </row>
    <row r="28" customFormat="false" ht="15" hidden="false" customHeight="true" outlineLevel="0" collapsed="false">
      <c r="AZ28" s="33" t="s">
        <v>82</v>
      </c>
      <c r="BA28" s="33"/>
      <c r="BB28" s="34" t="n">
        <f aca="false">BB26</f>
        <v>589344</v>
      </c>
    </row>
    <row r="29" customFormat="false" ht="15" hidden="false" customHeight="true" outlineLevel="0" collapsed="false">
      <c r="AZ29" s="33" t="s">
        <v>83</v>
      </c>
      <c r="BA29" s="33"/>
      <c r="BB29" s="35" t="n">
        <f aca="false">'Executive Summary'!$E$1*BB28</f>
        <v>50094240</v>
      </c>
    </row>
    <row r="30" customFormat="false" ht="23.25" hidden="false" customHeight="true" outlineLevel="0" collapsed="false">
      <c r="AZ30" s="33" t="s">
        <v>84</v>
      </c>
      <c r="BA30" s="33"/>
      <c r="BB30" s="36" t="n">
        <v>168</v>
      </c>
    </row>
    <row r="33" customFormat="false" ht="15" hidden="false" customHeight="true" outlineLevel="0" collapsed="false">
      <c r="A33" s="37" t="s">
        <v>85</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row>
    <row r="34" customFormat="false" ht="15" hidden="false" customHeight="true" outlineLevel="0" collapsed="false">
      <c r="A34" s="16" t="s">
        <v>86</v>
      </c>
      <c r="B34" s="16"/>
      <c r="C34" s="16"/>
      <c r="D34" s="16" t="s">
        <v>87</v>
      </c>
      <c r="E34" s="16"/>
      <c r="F34" s="16"/>
      <c r="G34" s="16"/>
      <c r="H34" s="16" t="s">
        <v>88</v>
      </c>
      <c r="I34" s="16"/>
      <c r="J34" s="16"/>
      <c r="K34" s="16"/>
      <c r="L34" s="16" t="s">
        <v>89</v>
      </c>
      <c r="M34" s="16"/>
      <c r="N34" s="16"/>
      <c r="O34" s="16"/>
      <c r="P34" s="16" t="s">
        <v>90</v>
      </c>
      <c r="Q34" s="16"/>
      <c r="R34" s="16"/>
      <c r="S34" s="16"/>
      <c r="T34" s="16" t="s">
        <v>91</v>
      </c>
      <c r="U34" s="16"/>
      <c r="V34" s="16"/>
      <c r="W34" s="16"/>
      <c r="X34" s="16" t="s">
        <v>92</v>
      </c>
      <c r="Y34" s="16"/>
      <c r="Z34" s="16"/>
      <c r="AA34" s="16"/>
    </row>
    <row r="35" customFormat="false" ht="15" hidden="false" customHeight="true" outlineLevel="0" collapsed="false">
      <c r="A35" s="38" t="s">
        <v>93</v>
      </c>
      <c r="B35" s="38"/>
      <c r="C35" s="38"/>
      <c r="D35" s="39" t="n">
        <v>10.5</v>
      </c>
      <c r="E35" s="39"/>
      <c r="F35" s="39"/>
      <c r="G35" s="39"/>
      <c r="H35" s="39" t="n">
        <v>10.75</v>
      </c>
      <c r="I35" s="39"/>
      <c r="J35" s="39"/>
      <c r="K35" s="39"/>
      <c r="L35" s="39" t="n">
        <v>20.75</v>
      </c>
      <c r="M35" s="39"/>
      <c r="N35" s="39"/>
      <c r="O35" s="39"/>
      <c r="P35" s="39" t="n">
        <v>17.55</v>
      </c>
      <c r="Q35" s="39"/>
      <c r="R35" s="39"/>
      <c r="S35" s="39"/>
      <c r="T35" s="39" t="n">
        <v>3.75</v>
      </c>
      <c r="U35" s="39"/>
      <c r="V35" s="39"/>
      <c r="W35" s="39"/>
      <c r="X35" s="39" t="n">
        <v>7.65</v>
      </c>
      <c r="Y35" s="39"/>
      <c r="Z35" s="39"/>
      <c r="AA35" s="39"/>
    </row>
    <row r="36" customFormat="false" ht="15" hidden="false" customHeight="true" outlineLevel="0" collapsed="false">
      <c r="A36" s="38" t="s">
        <v>94</v>
      </c>
      <c r="B36" s="38"/>
      <c r="C36" s="38"/>
      <c r="D36" s="27" t="n">
        <f aca="false">(D35/$AZ$26)*'Executive Summary'!$E$14</f>
        <v>119726.339794755</v>
      </c>
      <c r="E36" s="27"/>
      <c r="F36" s="27"/>
      <c r="G36" s="27"/>
      <c r="H36" s="27" t="n">
        <f aca="false">(H35/$AZ$26)*'Executive Summary'!$E$14</f>
        <v>122576.966932725</v>
      </c>
      <c r="I36" s="27"/>
      <c r="J36" s="27"/>
      <c r="K36" s="27"/>
      <c r="L36" s="27" t="n">
        <f aca="false">(L35/$AZ$26)*'Executive Summary'!$E$14</f>
        <v>236602.052451539</v>
      </c>
      <c r="M36" s="27"/>
      <c r="N36" s="27"/>
      <c r="O36" s="27"/>
      <c r="P36" s="27" t="n">
        <f aca="false">(P35/$AZ$26)*'Executive Summary'!$E$14</f>
        <v>200114.025085519</v>
      </c>
      <c r="Q36" s="27"/>
      <c r="R36" s="27"/>
      <c r="S36" s="27"/>
      <c r="T36" s="27" t="n">
        <f aca="false">(T35/$AZ$26)*'Executive Summary'!$E$14</f>
        <v>42759.4070695553</v>
      </c>
      <c r="U36" s="27"/>
      <c r="V36" s="27"/>
      <c r="W36" s="27"/>
      <c r="X36" s="27" t="n">
        <f aca="false">(X35/$AZ$26)*'Executive Summary'!$E$14</f>
        <v>87229.1904218928</v>
      </c>
      <c r="Y36" s="27"/>
      <c r="Z36" s="27"/>
      <c r="AA36" s="27"/>
    </row>
    <row r="40" customFormat="false" ht="15" hidden="false" customHeight="true" outlineLevel="0" collapsed="false">
      <c r="A40" s="37" t="s">
        <v>95</v>
      </c>
      <c r="B40" s="37"/>
      <c r="C40" s="37"/>
      <c r="D40" s="37"/>
      <c r="E40" s="37"/>
      <c r="F40" s="37"/>
      <c r="G40" s="37"/>
    </row>
    <row r="41" customFormat="false" ht="15" hidden="false" customHeight="true" outlineLevel="0" collapsed="false">
      <c r="A41" s="16" t="s">
        <v>64</v>
      </c>
      <c r="B41" s="16"/>
      <c r="C41" s="16"/>
      <c r="D41" s="16" t="s">
        <v>45</v>
      </c>
      <c r="E41" s="16"/>
      <c r="F41" s="16"/>
      <c r="G41" s="16"/>
      <c r="H41" s="16" t="s">
        <v>46</v>
      </c>
      <c r="I41" s="16"/>
      <c r="J41" s="16"/>
      <c r="K41" s="16"/>
      <c r="L41" s="16" t="s">
        <v>47</v>
      </c>
      <c r="M41" s="16"/>
      <c r="N41" s="16"/>
      <c r="O41" s="16"/>
      <c r="P41" s="16" t="s">
        <v>48</v>
      </c>
      <c r="Q41" s="16"/>
      <c r="R41" s="16"/>
      <c r="S41" s="16"/>
      <c r="T41" s="16" t="s">
        <v>49</v>
      </c>
      <c r="U41" s="16"/>
      <c r="V41" s="16"/>
      <c r="W41" s="16"/>
      <c r="X41" s="16" t="s">
        <v>50</v>
      </c>
      <c r="Y41" s="16"/>
      <c r="Z41" s="16"/>
      <c r="AA41" s="16"/>
      <c r="AB41" s="16" t="s">
        <v>51</v>
      </c>
      <c r="AC41" s="16"/>
      <c r="AD41" s="16"/>
      <c r="AE41" s="16"/>
      <c r="AF41" s="16" t="s">
        <v>52</v>
      </c>
      <c r="AG41" s="16"/>
      <c r="AH41" s="16"/>
      <c r="AI41" s="16"/>
      <c r="AJ41" s="16" t="s">
        <v>53</v>
      </c>
      <c r="AK41" s="16"/>
      <c r="AL41" s="16"/>
      <c r="AM41" s="16"/>
      <c r="AN41" s="16" t="s">
        <v>54</v>
      </c>
      <c r="AO41" s="16"/>
      <c r="AP41" s="16"/>
      <c r="AQ41" s="16"/>
      <c r="AR41" s="16" t="s">
        <v>55</v>
      </c>
      <c r="AS41" s="16"/>
      <c r="AT41" s="16"/>
      <c r="AU41" s="16"/>
      <c r="AV41" s="16" t="s">
        <v>56</v>
      </c>
      <c r="AW41" s="16"/>
      <c r="AX41" s="16"/>
      <c r="AY41" s="16"/>
      <c r="AZ41" s="16" t="s">
        <v>96</v>
      </c>
      <c r="BA41" s="16" t="s">
        <v>97</v>
      </c>
    </row>
    <row r="42" customFormat="false" ht="15" hidden="false" customHeight="true" outlineLevel="0" collapsed="false">
      <c r="A42" s="40" t="s">
        <v>98</v>
      </c>
      <c r="B42" s="40"/>
      <c r="C42" s="40"/>
      <c r="D42" s="41" t="n">
        <f aca="false">(D26/$AZ$26)*'Executive Summary'!$E$14</f>
        <v>60433.2953249715</v>
      </c>
      <c r="E42" s="41"/>
      <c r="F42" s="41"/>
      <c r="G42" s="41"/>
      <c r="H42" s="41" t="n">
        <f aca="false">(H26/$AZ$26)*'Executive Summary'!$E$14</f>
        <v>83238.3124287343</v>
      </c>
      <c r="I42" s="41"/>
      <c r="J42" s="41"/>
      <c r="K42" s="41"/>
      <c r="L42" s="41" t="n">
        <f aca="false">(L26/$AZ$26)*'Executive Summary'!$E$14</f>
        <v>83238.3124287343</v>
      </c>
      <c r="M42" s="41"/>
      <c r="N42" s="41"/>
      <c r="O42" s="41"/>
      <c r="P42" s="41" t="n">
        <f aca="false">(P26/$AZ$26)*'Executive Summary'!$E$14</f>
        <v>96921.322690992</v>
      </c>
      <c r="Q42" s="41"/>
      <c r="R42" s="41"/>
      <c r="S42" s="41"/>
      <c r="T42" s="41" t="n">
        <f aca="false">(T26/$AZ$26)*'Executive Summary'!$E$14</f>
        <v>99771.9498289624</v>
      </c>
      <c r="U42" s="41"/>
      <c r="V42" s="41"/>
      <c r="W42" s="41"/>
      <c r="X42" s="41" t="n">
        <f aca="false">(X26/$AZ$26)*'Executive Summary'!$E$14</f>
        <v>111174.458380844</v>
      </c>
      <c r="Y42" s="41"/>
      <c r="Z42" s="41"/>
      <c r="AA42" s="41"/>
      <c r="AB42" s="41" t="n">
        <f aca="false">(AB26/$AZ$26)*'Executive Summary'!$E$14</f>
        <v>96921.322690992</v>
      </c>
      <c r="AC42" s="41"/>
      <c r="AD42" s="41"/>
      <c r="AE42" s="41"/>
      <c r="AF42" s="41" t="n">
        <f aca="false">(AF26/$AZ$26)*'Executive Summary'!$E$14</f>
        <v>91220.0684150513</v>
      </c>
      <c r="AG42" s="41"/>
      <c r="AH42" s="41"/>
      <c r="AI42" s="41"/>
      <c r="AJ42" s="41" t="n">
        <f aca="false">(AJ26/$AZ$26)*'Executive Summary'!$E$14</f>
        <v>94070.6955530217</v>
      </c>
      <c r="AK42" s="41"/>
      <c r="AL42" s="41"/>
      <c r="AM42" s="41"/>
      <c r="AN42" s="41" t="n">
        <f aca="false">(AN26/$AZ$26)*'Executive Summary'!$E$14</f>
        <v>71835.8038768529</v>
      </c>
      <c r="AO42" s="41"/>
      <c r="AP42" s="41"/>
      <c r="AQ42" s="41"/>
      <c r="AR42" s="41" t="n">
        <f aca="false">(AR26/$AZ$26)*'Executive Summary'!$E$14</f>
        <v>60433.2953249715</v>
      </c>
      <c r="AS42" s="41"/>
      <c r="AT42" s="41"/>
      <c r="AU42" s="41"/>
      <c r="AV42" s="41" t="n">
        <f aca="false">(AV26/$AZ$26)*'Executive Summary'!$E$14</f>
        <v>50741.1630558723</v>
      </c>
      <c r="AW42" s="41"/>
      <c r="AX42" s="41"/>
      <c r="AY42" s="41"/>
      <c r="AZ42" s="42" t="n">
        <f aca="false">SUM(D42:AY42)</f>
        <v>1000000</v>
      </c>
      <c r="BA42" s="43"/>
    </row>
    <row r="43" customFormat="false" ht="23.25" hidden="false" customHeight="true" outlineLevel="0" collapsed="false">
      <c r="A43" s="40" t="s">
        <v>99</v>
      </c>
      <c r="B43" s="40"/>
      <c r="C43" s="40"/>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2" t="n">
        <f aca="false">SUM(D43:AY43)</f>
        <v>0</v>
      </c>
      <c r="BA43" s="42" t="n">
        <f aca="false">AZ42-AZ43</f>
        <v>1000000</v>
      </c>
    </row>
    <row r="44" customFormat="false" ht="23.25" hidden="false" customHeight="true" outlineLevel="0" collapsed="false">
      <c r="A44" s="40" t="s">
        <v>100</v>
      </c>
      <c r="B44" s="40"/>
      <c r="C44" s="40"/>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2" t="n">
        <f aca="false">SUM(D44:AY44)</f>
        <v>0</v>
      </c>
      <c r="BA44" s="42" t="n">
        <f aca="false">AZ42-AZ44</f>
        <v>1000000</v>
      </c>
    </row>
  </sheetData>
  <mergeCells count="291">
    <mergeCell ref="A1:C1"/>
    <mergeCell ref="D1:G1"/>
    <mergeCell ref="H1:K1"/>
    <mergeCell ref="L1:O1"/>
    <mergeCell ref="P1:S1"/>
    <mergeCell ref="T1:W1"/>
    <mergeCell ref="X1:AA1"/>
    <mergeCell ref="AB1:AE1"/>
    <mergeCell ref="AF1:AI1"/>
    <mergeCell ref="AJ1:AM1"/>
    <mergeCell ref="AN1:AQ1"/>
    <mergeCell ref="AR1:AU1"/>
    <mergeCell ref="AV1:AY1"/>
    <mergeCell ref="A2:C2"/>
    <mergeCell ref="A3:C3"/>
    <mergeCell ref="A4:C4"/>
    <mergeCell ref="A5:C5"/>
    <mergeCell ref="A6:C6"/>
    <mergeCell ref="A7:C7"/>
    <mergeCell ref="D11:G11"/>
    <mergeCell ref="H11:K11"/>
    <mergeCell ref="L11:O11"/>
    <mergeCell ref="P11:S11"/>
    <mergeCell ref="T11:W11"/>
    <mergeCell ref="X11:AA11"/>
    <mergeCell ref="AB11:AE11"/>
    <mergeCell ref="AF11:AI11"/>
    <mergeCell ref="AJ11:AM11"/>
    <mergeCell ref="AN11:AQ11"/>
    <mergeCell ref="AR11:AU11"/>
    <mergeCell ref="AV11:AY11"/>
    <mergeCell ref="D12:G12"/>
    <mergeCell ref="H12:K12"/>
    <mergeCell ref="L12:O12"/>
    <mergeCell ref="P12:S12"/>
    <mergeCell ref="T12:W12"/>
    <mergeCell ref="X12:AA12"/>
    <mergeCell ref="AB12:AE12"/>
    <mergeCell ref="AF12:AI12"/>
    <mergeCell ref="AJ12:AM12"/>
    <mergeCell ref="AN12:AQ12"/>
    <mergeCell ref="AR12:AU12"/>
    <mergeCell ref="AV12:AY12"/>
    <mergeCell ref="D13:G13"/>
    <mergeCell ref="H13:K13"/>
    <mergeCell ref="L13:O13"/>
    <mergeCell ref="P13:S13"/>
    <mergeCell ref="T13:W13"/>
    <mergeCell ref="X13:AA13"/>
    <mergeCell ref="AB13:AE13"/>
    <mergeCell ref="AF13:AI13"/>
    <mergeCell ref="AJ13:AM13"/>
    <mergeCell ref="AN13:AQ13"/>
    <mergeCell ref="AR13:AU13"/>
    <mergeCell ref="AV13:AY13"/>
    <mergeCell ref="D14:G14"/>
    <mergeCell ref="H14:K14"/>
    <mergeCell ref="L14:O14"/>
    <mergeCell ref="P14:S14"/>
    <mergeCell ref="T14:W14"/>
    <mergeCell ref="X14:AA14"/>
    <mergeCell ref="AB14:AE14"/>
    <mergeCell ref="AF14:AI14"/>
    <mergeCell ref="AJ14:AM14"/>
    <mergeCell ref="AN14:AQ14"/>
    <mergeCell ref="AR14:AU14"/>
    <mergeCell ref="AV14:AY14"/>
    <mergeCell ref="D15:G15"/>
    <mergeCell ref="H15:K15"/>
    <mergeCell ref="L15:O15"/>
    <mergeCell ref="P15:S15"/>
    <mergeCell ref="T15:W15"/>
    <mergeCell ref="X15:AA15"/>
    <mergeCell ref="AB15:AE15"/>
    <mergeCell ref="AF15:AI15"/>
    <mergeCell ref="AJ15:AM15"/>
    <mergeCell ref="AN15:AQ15"/>
    <mergeCell ref="AR15:AU15"/>
    <mergeCell ref="AV15:AY15"/>
    <mergeCell ref="D16:G16"/>
    <mergeCell ref="H16:K16"/>
    <mergeCell ref="L16:O16"/>
    <mergeCell ref="P16:S16"/>
    <mergeCell ref="T16:W16"/>
    <mergeCell ref="X16:AA16"/>
    <mergeCell ref="AB16:AE16"/>
    <mergeCell ref="AF16:AI16"/>
    <mergeCell ref="AJ16:AM16"/>
    <mergeCell ref="AN16:AQ16"/>
    <mergeCell ref="AR16:AU16"/>
    <mergeCell ref="AV16:AY16"/>
    <mergeCell ref="D17:G17"/>
    <mergeCell ref="H17:K17"/>
    <mergeCell ref="L17:O17"/>
    <mergeCell ref="P17:S17"/>
    <mergeCell ref="T17:W17"/>
    <mergeCell ref="X17:AA17"/>
    <mergeCell ref="AB17:AE17"/>
    <mergeCell ref="AF17:AI17"/>
    <mergeCell ref="AJ17:AM17"/>
    <mergeCell ref="AN17:AQ17"/>
    <mergeCell ref="AR17:AU17"/>
    <mergeCell ref="AV17:AY17"/>
    <mergeCell ref="D18:G18"/>
    <mergeCell ref="H18:K18"/>
    <mergeCell ref="L18:O18"/>
    <mergeCell ref="P18:S18"/>
    <mergeCell ref="T18:W18"/>
    <mergeCell ref="X18:AA18"/>
    <mergeCell ref="AB18:AE18"/>
    <mergeCell ref="AF18:AI18"/>
    <mergeCell ref="AJ18:AM18"/>
    <mergeCell ref="AN18:AQ18"/>
    <mergeCell ref="AR18:AU18"/>
    <mergeCell ref="AV18:AY18"/>
    <mergeCell ref="D19:G19"/>
    <mergeCell ref="H19:K19"/>
    <mergeCell ref="L19:O19"/>
    <mergeCell ref="P19:S19"/>
    <mergeCell ref="T19:W19"/>
    <mergeCell ref="X19:AA19"/>
    <mergeCell ref="AB19:AE19"/>
    <mergeCell ref="AF19:AI19"/>
    <mergeCell ref="AJ19:AM19"/>
    <mergeCell ref="AN19:AQ19"/>
    <mergeCell ref="AR19:AU19"/>
    <mergeCell ref="AV19:AY19"/>
    <mergeCell ref="D20:G20"/>
    <mergeCell ref="H20:K20"/>
    <mergeCell ref="L20:O20"/>
    <mergeCell ref="P20:S20"/>
    <mergeCell ref="T20:W20"/>
    <mergeCell ref="X20:AA20"/>
    <mergeCell ref="AB20:AE20"/>
    <mergeCell ref="AF20:AI20"/>
    <mergeCell ref="AJ20:AM20"/>
    <mergeCell ref="AN20:AQ20"/>
    <mergeCell ref="AR20:AU20"/>
    <mergeCell ref="AV20:AY20"/>
    <mergeCell ref="D21:G21"/>
    <mergeCell ref="H21:K21"/>
    <mergeCell ref="L21:O21"/>
    <mergeCell ref="P21:S21"/>
    <mergeCell ref="T21:W21"/>
    <mergeCell ref="X21:AA21"/>
    <mergeCell ref="AB21:AE21"/>
    <mergeCell ref="AF21:AI21"/>
    <mergeCell ref="AJ21:AM21"/>
    <mergeCell ref="AN21:AQ21"/>
    <mergeCell ref="AR21:AU21"/>
    <mergeCell ref="AV21:AY21"/>
    <mergeCell ref="D22:G22"/>
    <mergeCell ref="H22:K22"/>
    <mergeCell ref="L22:O22"/>
    <mergeCell ref="P22:S22"/>
    <mergeCell ref="T22:W22"/>
    <mergeCell ref="X22:AA22"/>
    <mergeCell ref="AB22:AE22"/>
    <mergeCell ref="AF22:AI22"/>
    <mergeCell ref="AJ22:AM22"/>
    <mergeCell ref="AN22:AQ22"/>
    <mergeCell ref="AR22:AU22"/>
    <mergeCell ref="AV22:AY22"/>
    <mergeCell ref="D23:G23"/>
    <mergeCell ref="H23:K23"/>
    <mergeCell ref="L23:O23"/>
    <mergeCell ref="P23:S23"/>
    <mergeCell ref="T23:W23"/>
    <mergeCell ref="X23:AA23"/>
    <mergeCell ref="AB23:AE23"/>
    <mergeCell ref="AF23:AI23"/>
    <mergeCell ref="AJ23:AM23"/>
    <mergeCell ref="AN23:AQ23"/>
    <mergeCell ref="AR23:AU23"/>
    <mergeCell ref="AV23:AY23"/>
    <mergeCell ref="D24:G24"/>
    <mergeCell ref="H24:K24"/>
    <mergeCell ref="L24:O24"/>
    <mergeCell ref="P24:S24"/>
    <mergeCell ref="T24:W24"/>
    <mergeCell ref="X24:AA24"/>
    <mergeCell ref="AB24:AE24"/>
    <mergeCell ref="AF24:AI24"/>
    <mergeCell ref="AJ24:AM24"/>
    <mergeCell ref="AN24:AQ24"/>
    <mergeCell ref="AR24:AU24"/>
    <mergeCell ref="AV24:AY24"/>
    <mergeCell ref="D25:G25"/>
    <mergeCell ref="H25:K25"/>
    <mergeCell ref="L25:O25"/>
    <mergeCell ref="P25:S25"/>
    <mergeCell ref="T25:W25"/>
    <mergeCell ref="X25:AA25"/>
    <mergeCell ref="AB25:AE25"/>
    <mergeCell ref="AF25:AI25"/>
    <mergeCell ref="AJ25:AM25"/>
    <mergeCell ref="AN25:AQ25"/>
    <mergeCell ref="AR25:AU25"/>
    <mergeCell ref="AV25:AY25"/>
    <mergeCell ref="A26:C26"/>
    <mergeCell ref="D26:G26"/>
    <mergeCell ref="H26:K26"/>
    <mergeCell ref="L26:O26"/>
    <mergeCell ref="P26:S26"/>
    <mergeCell ref="T26:W26"/>
    <mergeCell ref="X26:AA26"/>
    <mergeCell ref="AB26:AE26"/>
    <mergeCell ref="AF26:AI26"/>
    <mergeCell ref="AJ26:AM26"/>
    <mergeCell ref="AN26:AQ26"/>
    <mergeCell ref="AR26:AU26"/>
    <mergeCell ref="AV26:AY26"/>
    <mergeCell ref="A27:T27"/>
    <mergeCell ref="AZ28:BA28"/>
    <mergeCell ref="AZ29:BA29"/>
    <mergeCell ref="AZ30:BA30"/>
    <mergeCell ref="A33:AA33"/>
    <mergeCell ref="A34:C34"/>
    <mergeCell ref="D34:G34"/>
    <mergeCell ref="H34:K34"/>
    <mergeCell ref="L34:O34"/>
    <mergeCell ref="P34:S34"/>
    <mergeCell ref="T34:W34"/>
    <mergeCell ref="X34:AA34"/>
    <mergeCell ref="A35:C35"/>
    <mergeCell ref="D35:G35"/>
    <mergeCell ref="H35:K35"/>
    <mergeCell ref="L35:O35"/>
    <mergeCell ref="P35:S35"/>
    <mergeCell ref="T35:W35"/>
    <mergeCell ref="X35:AA35"/>
    <mergeCell ref="A36:C36"/>
    <mergeCell ref="D36:G36"/>
    <mergeCell ref="H36:K36"/>
    <mergeCell ref="L36:O36"/>
    <mergeCell ref="P36:S36"/>
    <mergeCell ref="T36:W36"/>
    <mergeCell ref="X36:AA36"/>
    <mergeCell ref="A40:G40"/>
    <mergeCell ref="A41:C41"/>
    <mergeCell ref="D41:G41"/>
    <mergeCell ref="H41:K41"/>
    <mergeCell ref="L41:O41"/>
    <mergeCell ref="P41:S41"/>
    <mergeCell ref="T41:W41"/>
    <mergeCell ref="X41:AA41"/>
    <mergeCell ref="AB41:AE41"/>
    <mergeCell ref="AF41:AI41"/>
    <mergeCell ref="AJ41:AM41"/>
    <mergeCell ref="AN41:AQ41"/>
    <mergeCell ref="AR41:AU41"/>
    <mergeCell ref="AV41:AY41"/>
    <mergeCell ref="A42:C42"/>
    <mergeCell ref="D42:G42"/>
    <mergeCell ref="H42:K42"/>
    <mergeCell ref="L42:O42"/>
    <mergeCell ref="P42:S42"/>
    <mergeCell ref="T42:W42"/>
    <mergeCell ref="X42:AA42"/>
    <mergeCell ref="AB42:AE42"/>
    <mergeCell ref="AF42:AI42"/>
    <mergeCell ref="AJ42:AM42"/>
    <mergeCell ref="AN42:AQ42"/>
    <mergeCell ref="AR42:AU42"/>
    <mergeCell ref="AV42:AY42"/>
    <mergeCell ref="A43:C43"/>
    <mergeCell ref="D43:G43"/>
    <mergeCell ref="H43:K43"/>
    <mergeCell ref="L43:O43"/>
    <mergeCell ref="P43:S43"/>
    <mergeCell ref="T43:W43"/>
    <mergeCell ref="X43:AA43"/>
    <mergeCell ref="AB43:AE43"/>
    <mergeCell ref="AF43:AI43"/>
    <mergeCell ref="AJ43:AM43"/>
    <mergeCell ref="AN43:AQ43"/>
    <mergeCell ref="AR43:AU43"/>
    <mergeCell ref="AV43:AY43"/>
    <mergeCell ref="A44:C44"/>
    <mergeCell ref="D44:G44"/>
    <mergeCell ref="H44:K44"/>
    <mergeCell ref="L44:O44"/>
    <mergeCell ref="P44:S44"/>
    <mergeCell ref="T44:W44"/>
    <mergeCell ref="X44:AA44"/>
    <mergeCell ref="AB44:AE44"/>
    <mergeCell ref="AF44:AI44"/>
    <mergeCell ref="AJ44:AM44"/>
    <mergeCell ref="AN44:AQ44"/>
    <mergeCell ref="AR44:AU44"/>
    <mergeCell ref="AV44:AY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30"/>
    <col collapsed="false" customWidth="true" hidden="false" outlineLevel="0" max="4" min="4" style="1" width="22"/>
    <col collapsed="false" customWidth="true" hidden="false" outlineLevel="0" max="7" min="5" style="1" width="16"/>
  </cols>
  <sheetData>
    <row r="4" customFormat="false" ht="23.25" hidden="false" customHeight="true" outlineLevel="0" collapsed="false">
      <c r="A4" s="45" t="s">
        <v>101</v>
      </c>
    </row>
    <row r="5" customFormat="false" ht="15" hidden="false" customHeight="true" outlineLevel="0" collapsed="false">
      <c r="B5" s="16" t="s">
        <v>102</v>
      </c>
      <c r="C5" s="16" t="s">
        <v>103</v>
      </c>
      <c r="D5" s="16" t="s">
        <v>25</v>
      </c>
    </row>
    <row r="6" customFormat="false" ht="15" hidden="false" customHeight="true" outlineLevel="0" collapsed="false">
      <c r="B6" s="22" t="s">
        <v>104</v>
      </c>
      <c r="C6" s="46" t="s">
        <v>105</v>
      </c>
      <c r="D6" s="47"/>
    </row>
    <row r="7" customFormat="false" ht="15" hidden="false" customHeight="true" outlineLevel="0" collapsed="false">
      <c r="B7" s="22" t="s">
        <v>106</v>
      </c>
      <c r="C7" s="48" t="n">
        <f aca="false">'Module 1 Engineering POD'!$BB$28</f>
        <v>589344</v>
      </c>
      <c r="D7" s="47"/>
    </row>
    <row r="8" customFormat="false" ht="23.25" hidden="false" customHeight="true" outlineLevel="0" collapsed="false">
      <c r="B8" s="22" t="s">
        <v>107</v>
      </c>
      <c r="C8" s="49" t="n">
        <f aca="false">C7*0.15</f>
        <v>88401.6</v>
      </c>
      <c r="D8" s="47"/>
    </row>
    <row r="9" customFormat="false" ht="15" hidden="false" customHeight="true" outlineLevel="0" collapsed="false">
      <c r="B9" s="38" t="s">
        <v>108</v>
      </c>
      <c r="C9" s="50" t="n">
        <f aca="false">C7+C8</f>
        <v>677745.6</v>
      </c>
      <c r="D9" s="47"/>
    </row>
    <row r="10" customFormat="false" ht="15" hidden="false" customHeight="true" outlineLevel="0" collapsed="false">
      <c r="B10" s="47"/>
      <c r="C10" s="47"/>
      <c r="D10" s="47"/>
    </row>
    <row r="11" customFormat="false" ht="23.25" hidden="false" customHeight="true" outlineLevel="0" collapsed="false">
      <c r="B11" s="22" t="s">
        <v>109</v>
      </c>
      <c r="C11" s="12" t="n">
        <v>491366</v>
      </c>
      <c r="D11" s="51"/>
    </row>
    <row r="12" customFormat="false" ht="23.25" hidden="false" customHeight="true" outlineLevel="0" collapsed="false">
      <c r="B12" s="38" t="s">
        <v>109</v>
      </c>
      <c r="C12" s="13" t="n">
        <f aca="false">C11</f>
        <v>491366</v>
      </c>
      <c r="D12" s="51"/>
    </row>
    <row r="13" customFormat="false" ht="33.75" hidden="false" customHeight="true" outlineLevel="0" collapsed="false">
      <c r="B13" s="38" t="s">
        <v>110</v>
      </c>
      <c r="C13" s="13" t="n">
        <f aca="false">C12*0.275</f>
        <v>135125.65</v>
      </c>
      <c r="D13" s="51"/>
    </row>
    <row r="16" customFormat="false" ht="15" hidden="false" customHeight="true" outlineLevel="0" collapsed="false">
      <c r="B16" s="22" t="s">
        <v>111</v>
      </c>
      <c r="C16" s="48" t="n">
        <f aca="false">'Cloud Infra Estimate'!$E$15</f>
        <v>216000</v>
      </c>
      <c r="D16" s="47"/>
    </row>
    <row r="17" customFormat="false" ht="30" hidden="false" customHeight="true" outlineLevel="0" collapsed="false">
      <c r="B17" s="22" t="s">
        <v>112</v>
      </c>
      <c r="C17" s="49" t="n">
        <f aca="false">C16</f>
        <v>216000</v>
      </c>
      <c r="D17" s="47"/>
    </row>
    <row r="21" customFormat="false" ht="15" hidden="false" customHeight="true" outlineLevel="0" collapsed="false">
      <c r="B21" s="52" t="s">
        <v>113</v>
      </c>
    </row>
    <row r="23" customFormat="false" ht="15" hidden="false" customHeight="true" outlineLevel="0" collapsed="false">
      <c r="B23" s="53" t="s">
        <v>114</v>
      </c>
      <c r="C23" s="53" t="s">
        <v>115</v>
      </c>
      <c r="D23" s="53" t="s">
        <v>116</v>
      </c>
      <c r="E23" s="53" t="s">
        <v>117</v>
      </c>
      <c r="F23" s="53" t="s">
        <v>118</v>
      </c>
      <c r="G23" s="53" t="s">
        <v>96</v>
      </c>
    </row>
    <row r="24" customFormat="false" ht="23.25" hidden="false" customHeight="true" outlineLevel="0" collapsed="false">
      <c r="B24" s="54" t="s">
        <v>119</v>
      </c>
      <c r="C24" s="55" t="s">
        <v>120</v>
      </c>
      <c r="D24" s="56" t="n">
        <f aca="false">C12</f>
        <v>491366</v>
      </c>
      <c r="E24" s="56"/>
      <c r="F24" s="56"/>
      <c r="G24" s="56" t="n">
        <f aca="false">D24</f>
        <v>491366</v>
      </c>
    </row>
    <row r="25" customFormat="false" ht="15" hidden="false" customHeight="true" outlineLevel="0" collapsed="false">
      <c r="B25" s="54"/>
      <c r="C25" s="55" t="s">
        <v>110</v>
      </c>
      <c r="D25" s="56" t="n">
        <f aca="false">C13*0.5</f>
        <v>67562.825</v>
      </c>
      <c r="E25" s="56" t="n">
        <f aca="false">C13</f>
        <v>135125.65</v>
      </c>
      <c r="F25" s="56" t="n">
        <f aca="false">C13</f>
        <v>135125.65</v>
      </c>
      <c r="G25" s="56" t="n">
        <f aca="false">SUM(D25:F25)</f>
        <v>337814.125</v>
      </c>
    </row>
    <row r="26" customFormat="false" ht="15" hidden="false" customHeight="true" outlineLevel="0" collapsed="false">
      <c r="B26" s="54"/>
      <c r="C26" s="54" t="s">
        <v>96</v>
      </c>
      <c r="D26" s="57" t="n">
        <f aca="false">D24+D25</f>
        <v>558928.825</v>
      </c>
      <c r="E26" s="57" t="n">
        <f aca="false">E25</f>
        <v>135125.65</v>
      </c>
      <c r="F26" s="57" t="n">
        <f aca="false">F25</f>
        <v>135125.65</v>
      </c>
      <c r="G26" s="57" t="n">
        <f aca="false">D24*0.275</f>
        <v>135125.65</v>
      </c>
    </row>
    <row r="27" customFormat="false" ht="15" hidden="false" customHeight="true" outlineLevel="0" collapsed="false">
      <c r="B27" s="54" t="s">
        <v>121</v>
      </c>
      <c r="C27" s="55" t="s">
        <v>122</v>
      </c>
      <c r="D27" s="56" t="n">
        <f aca="false">'Cloud Infra Estimate'!$E$15</f>
        <v>216000</v>
      </c>
      <c r="E27" s="56" t="n">
        <f aca="false">'Cloud Infra Estimate'!$E$15</f>
        <v>216000</v>
      </c>
      <c r="F27" s="56" t="n">
        <f aca="false">'Cloud Infra Estimate'!$E$15</f>
        <v>216000</v>
      </c>
      <c r="G27" s="56" t="n">
        <f aca="false">SUM(D27:F27)</f>
        <v>648000</v>
      </c>
    </row>
    <row r="28" customFormat="false" ht="15" hidden="false" customHeight="true" outlineLevel="0" collapsed="false">
      <c r="B28" s="54"/>
      <c r="C28" s="54" t="s">
        <v>96</v>
      </c>
      <c r="D28" s="57" t="n">
        <f aca="false">D27</f>
        <v>216000</v>
      </c>
      <c r="E28" s="57" t="n">
        <f aca="false">E27</f>
        <v>216000</v>
      </c>
      <c r="F28" s="57" t="n">
        <f aca="false">F27</f>
        <v>216000</v>
      </c>
      <c r="G28" s="57" t="n">
        <f aca="false">SUM(D28:F28)</f>
        <v>648000</v>
      </c>
    </row>
    <row r="29" customFormat="false" ht="15" hidden="false" customHeight="true" outlineLevel="0" collapsed="false">
      <c r="B29" s="58" t="s">
        <v>123</v>
      </c>
      <c r="C29" s="58"/>
      <c r="D29" s="59" t="n">
        <f aca="false">D26+D28</f>
        <v>774928.825</v>
      </c>
      <c r="E29" s="59" t="n">
        <f aca="false">E26+E28</f>
        <v>351125.65</v>
      </c>
      <c r="F29" s="59" t="n">
        <f aca="false">F26+F28</f>
        <v>351125.65</v>
      </c>
      <c r="G29" s="59" t="n">
        <f aca="false">G26+G28</f>
        <v>783125.65</v>
      </c>
    </row>
  </sheetData>
  <mergeCells count="3">
    <mergeCell ref="B24:B26"/>
    <mergeCell ref="B27:B28"/>
    <mergeCell ref="B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3"/>
    <col collapsed="false" customWidth="true" hidden="false" outlineLevel="0" max="3" min="3" style="1" width="11"/>
    <col collapsed="false" customWidth="true" hidden="false" outlineLevel="0" max="51" min="4" style="1" width="3.3"/>
    <col collapsed="false" customWidth="true" hidden="false" outlineLevel="0" max="52" min="52" style="1" width="11"/>
    <col collapsed="false" customWidth="true" hidden="false" outlineLevel="0" max="53" min="53" style="1" width="9"/>
    <col collapsed="false" customWidth="true" hidden="false" outlineLevel="0" max="54" min="54" style="1" width="14"/>
  </cols>
  <sheetData>
    <row r="1" customFormat="false" ht="15" hidden="false" customHeight="true" outlineLevel="0" collapsed="false">
      <c r="A1" s="16" t="s">
        <v>44</v>
      </c>
      <c r="B1" s="16"/>
      <c r="C1" s="16"/>
      <c r="D1" s="16" t="s">
        <v>45</v>
      </c>
      <c r="E1" s="16"/>
      <c r="F1" s="16"/>
      <c r="G1" s="16"/>
      <c r="H1" s="16" t="s">
        <v>46</v>
      </c>
      <c r="I1" s="16"/>
      <c r="J1" s="16"/>
      <c r="K1" s="16"/>
      <c r="L1" s="16" t="s">
        <v>47</v>
      </c>
      <c r="M1" s="16"/>
      <c r="N1" s="16"/>
      <c r="O1" s="16"/>
      <c r="P1" s="16" t="s">
        <v>48</v>
      </c>
      <c r="Q1" s="16"/>
      <c r="R1" s="16"/>
      <c r="S1" s="16"/>
      <c r="T1" s="16" t="s">
        <v>49</v>
      </c>
      <c r="U1" s="16"/>
      <c r="V1" s="16"/>
      <c r="W1" s="16"/>
      <c r="X1" s="16" t="s">
        <v>50</v>
      </c>
      <c r="Y1" s="16"/>
      <c r="Z1" s="16"/>
      <c r="AA1" s="16"/>
      <c r="AB1" s="16" t="s">
        <v>51</v>
      </c>
      <c r="AC1" s="16"/>
      <c r="AD1" s="16"/>
      <c r="AE1" s="16"/>
      <c r="AF1" s="16" t="s">
        <v>52</v>
      </c>
      <c r="AG1" s="16"/>
      <c r="AH1" s="16"/>
      <c r="AI1" s="16"/>
      <c r="AJ1" s="16" t="s">
        <v>53</v>
      </c>
      <c r="AK1" s="16"/>
      <c r="AL1" s="16"/>
      <c r="AM1" s="16"/>
      <c r="AN1" s="16" t="s">
        <v>54</v>
      </c>
      <c r="AO1" s="16"/>
      <c r="AP1" s="16"/>
      <c r="AQ1" s="16"/>
      <c r="AR1" s="16" t="s">
        <v>55</v>
      </c>
      <c r="AS1" s="16"/>
      <c r="AT1" s="16"/>
      <c r="AU1" s="16"/>
      <c r="AV1" s="16" t="s">
        <v>56</v>
      </c>
      <c r="AW1" s="16"/>
      <c r="AX1" s="16"/>
      <c r="AY1" s="16"/>
    </row>
    <row r="2" customFormat="false" ht="15.75" hidden="false" customHeight="true" outlineLevel="0" collapsed="false">
      <c r="A2" s="2" t="s">
        <v>124</v>
      </c>
      <c r="B2" s="2"/>
      <c r="C2" s="2"/>
      <c r="D2" s="17"/>
      <c r="E2" s="17"/>
      <c r="F2" s="17"/>
      <c r="G2" s="17"/>
    </row>
    <row r="3" customFormat="false" ht="15.75" hidden="false" customHeight="true" outlineLevel="0" collapsed="false">
      <c r="A3" s="2" t="s">
        <v>125</v>
      </c>
      <c r="B3" s="2"/>
      <c r="C3" s="2"/>
      <c r="H3" s="18"/>
      <c r="I3" s="18"/>
      <c r="J3" s="18"/>
      <c r="K3" s="18"/>
    </row>
    <row r="4" customFormat="false" ht="15.75" hidden="false" customHeight="true" outlineLevel="0" collapsed="false">
      <c r="A4" s="2" t="s">
        <v>126</v>
      </c>
      <c r="B4" s="2"/>
      <c r="C4" s="2"/>
      <c r="L4" s="60"/>
      <c r="M4" s="60"/>
      <c r="N4" s="60"/>
      <c r="O4" s="60"/>
    </row>
    <row r="5" customFormat="false" ht="15.75" hidden="false" customHeight="true" outlineLevel="0" collapsed="false">
      <c r="A5" s="2" t="s">
        <v>127</v>
      </c>
      <c r="B5" s="2"/>
      <c r="C5" s="2"/>
      <c r="P5" s="19"/>
      <c r="Q5" s="19"/>
      <c r="R5" s="19"/>
      <c r="S5" s="19"/>
      <c r="T5" s="19"/>
      <c r="U5" s="19"/>
      <c r="V5" s="19"/>
      <c r="W5" s="19"/>
      <c r="X5" s="19"/>
      <c r="Y5" s="19"/>
      <c r="Z5" s="19"/>
      <c r="AA5" s="19"/>
      <c r="AB5" s="19"/>
      <c r="AC5" s="19"/>
      <c r="AD5" s="19"/>
      <c r="AE5" s="19"/>
      <c r="AF5" s="19"/>
      <c r="AG5" s="19"/>
      <c r="AH5" s="19"/>
      <c r="AI5" s="19"/>
      <c r="AJ5" s="19"/>
      <c r="AK5" s="19"/>
      <c r="AL5" s="19"/>
      <c r="AM5" s="19"/>
    </row>
    <row r="6" customFormat="false" ht="15.75" hidden="false" customHeight="true" outlineLevel="0" collapsed="false">
      <c r="A6" s="2" t="s">
        <v>128</v>
      </c>
      <c r="B6" s="2"/>
      <c r="C6" s="2"/>
      <c r="AJ6" s="20"/>
      <c r="AK6" s="20"/>
      <c r="AL6" s="20"/>
      <c r="AM6" s="20"/>
      <c r="AN6" s="20"/>
      <c r="AO6" s="20"/>
      <c r="AP6" s="20"/>
      <c r="AQ6" s="20"/>
      <c r="AR6" s="20"/>
      <c r="AS6" s="20"/>
      <c r="AT6" s="20"/>
      <c r="AU6" s="20"/>
    </row>
    <row r="7" customFormat="false" ht="15.75" hidden="false" customHeight="true" outlineLevel="0" collapsed="false">
      <c r="A7" s="2" t="s">
        <v>129</v>
      </c>
      <c r="B7" s="2"/>
      <c r="C7" s="2"/>
      <c r="AN7" s="21"/>
      <c r="AO7" s="21"/>
      <c r="AP7" s="21"/>
      <c r="AQ7" s="21"/>
      <c r="AR7" s="21"/>
      <c r="AS7" s="21"/>
      <c r="AT7" s="21"/>
      <c r="AU7" s="21"/>
    </row>
    <row r="8" customFormat="false" ht="15.75" hidden="false" customHeight="true" outlineLevel="0" collapsed="false">
      <c r="A8" s="2" t="s">
        <v>130</v>
      </c>
      <c r="B8" s="2"/>
      <c r="C8" s="2"/>
      <c r="AR8" s="61"/>
      <c r="AS8" s="61"/>
      <c r="AT8" s="61"/>
      <c r="AU8" s="61"/>
      <c r="AV8" s="61"/>
      <c r="AW8" s="61"/>
      <c r="AX8" s="61"/>
      <c r="AY8" s="61"/>
    </row>
    <row r="11" customFormat="false" ht="25.5" hidden="false" customHeight="true" outlineLevel="0" collapsed="false">
      <c r="A11" s="16" t="s">
        <v>63</v>
      </c>
      <c r="B11" s="16" t="s">
        <v>4</v>
      </c>
      <c r="C11" s="16" t="s">
        <v>64</v>
      </c>
      <c r="D11" s="16" t="s">
        <v>45</v>
      </c>
      <c r="E11" s="16"/>
      <c r="F11" s="16"/>
      <c r="G11" s="16"/>
      <c r="H11" s="16" t="s">
        <v>46</v>
      </c>
      <c r="I11" s="16"/>
      <c r="J11" s="16"/>
      <c r="K11" s="16"/>
      <c r="L11" s="16" t="s">
        <v>47</v>
      </c>
      <c r="M11" s="16"/>
      <c r="N11" s="16"/>
      <c r="O11" s="16"/>
      <c r="P11" s="16" t="s">
        <v>48</v>
      </c>
      <c r="Q11" s="16"/>
      <c r="R11" s="16"/>
      <c r="S11" s="16"/>
      <c r="T11" s="16" t="s">
        <v>49</v>
      </c>
      <c r="U11" s="16"/>
      <c r="V11" s="16"/>
      <c r="W11" s="16"/>
      <c r="X11" s="16" t="s">
        <v>50</v>
      </c>
      <c r="Y11" s="16"/>
      <c r="Z11" s="16"/>
      <c r="AA11" s="16"/>
      <c r="AB11" s="16" t="s">
        <v>51</v>
      </c>
      <c r="AC11" s="16"/>
      <c r="AD11" s="16"/>
      <c r="AE11" s="16"/>
      <c r="AF11" s="16" t="s">
        <v>52</v>
      </c>
      <c r="AG11" s="16"/>
      <c r="AH11" s="16"/>
      <c r="AI11" s="16"/>
      <c r="AJ11" s="16" t="s">
        <v>53</v>
      </c>
      <c r="AK11" s="16"/>
      <c r="AL11" s="16"/>
      <c r="AM11" s="16"/>
      <c r="AN11" s="16" t="s">
        <v>54</v>
      </c>
      <c r="AO11" s="16"/>
      <c r="AP11" s="16"/>
      <c r="AQ11" s="16"/>
      <c r="AR11" s="16" t="s">
        <v>55</v>
      </c>
      <c r="AS11" s="16"/>
      <c r="AT11" s="16"/>
      <c r="AU11" s="16"/>
      <c r="AV11" s="16" t="s">
        <v>56</v>
      </c>
      <c r="AW11" s="16"/>
      <c r="AX11" s="16"/>
      <c r="AY11" s="16"/>
      <c r="AZ11" s="16" t="s">
        <v>65</v>
      </c>
      <c r="BA11" s="16" t="s">
        <v>66</v>
      </c>
      <c r="BB11" s="16" t="s">
        <v>67</v>
      </c>
    </row>
    <row r="12" customFormat="false" ht="15" hidden="false" customHeight="true" outlineLevel="0" collapsed="false">
      <c r="A12" s="22" t="s">
        <v>22</v>
      </c>
      <c r="B12" s="23" t="s">
        <v>5</v>
      </c>
      <c r="C12" s="22" t="s">
        <v>68</v>
      </c>
      <c r="D12" s="24" t="n">
        <v>0.5</v>
      </c>
      <c r="E12" s="24"/>
      <c r="F12" s="24"/>
      <c r="G12" s="24"/>
      <c r="H12" s="24" t="n">
        <v>0.5</v>
      </c>
      <c r="I12" s="24"/>
      <c r="J12" s="24"/>
      <c r="K12" s="24"/>
      <c r="L12" s="24" t="n">
        <v>0.5</v>
      </c>
      <c r="M12" s="24"/>
      <c r="N12" s="24"/>
      <c r="O12" s="24"/>
      <c r="P12" s="24" t="n">
        <v>0.2</v>
      </c>
      <c r="Q12" s="24"/>
      <c r="R12" s="24"/>
      <c r="S12" s="24"/>
      <c r="T12" s="24" t="n">
        <v>0.2</v>
      </c>
      <c r="U12" s="24"/>
      <c r="V12" s="24"/>
      <c r="W12" s="24"/>
      <c r="X12" s="24" t="n">
        <v>0.2</v>
      </c>
      <c r="Y12" s="24"/>
      <c r="Z12" s="24"/>
      <c r="AA12" s="24"/>
      <c r="AB12" s="24" t="n">
        <v>0.2</v>
      </c>
      <c r="AC12" s="24"/>
      <c r="AD12" s="24"/>
      <c r="AE12" s="24"/>
      <c r="AF12" s="24" t="n">
        <v>0.2</v>
      </c>
      <c r="AG12" s="24"/>
      <c r="AH12" s="24"/>
      <c r="AI12" s="24"/>
      <c r="AJ12" s="24" t="n">
        <v>0.1</v>
      </c>
      <c r="AK12" s="24"/>
      <c r="AL12" s="24"/>
      <c r="AM12" s="24"/>
      <c r="AN12" s="24" t="n">
        <v>0.1</v>
      </c>
      <c r="AO12" s="24"/>
      <c r="AP12" s="24"/>
      <c r="AQ12" s="24"/>
      <c r="AR12" s="24" t="n">
        <v>0.2</v>
      </c>
      <c r="AS12" s="24"/>
      <c r="AT12" s="24"/>
      <c r="AU12" s="24"/>
      <c r="AV12" s="24" t="n">
        <v>0.2</v>
      </c>
      <c r="AW12" s="24"/>
      <c r="AX12" s="24"/>
      <c r="AY12" s="24"/>
      <c r="AZ12" s="25" t="n">
        <f aca="false">SUM(D12:AY12)</f>
        <v>3.1</v>
      </c>
      <c r="BA12" s="26" t="n">
        <v>40</v>
      </c>
      <c r="BB12" s="27" t="n">
        <f aca="false">AZ12*BA12*$BB$30</f>
        <v>20832</v>
      </c>
    </row>
    <row r="13" customFormat="false" ht="15" hidden="false" customHeight="true" outlineLevel="0" collapsed="false">
      <c r="A13" s="22" t="s">
        <v>69</v>
      </c>
      <c r="B13" s="23" t="s">
        <v>5</v>
      </c>
      <c r="C13" s="22" t="s">
        <v>68</v>
      </c>
      <c r="D13" s="24" t="n">
        <v>1</v>
      </c>
      <c r="E13" s="24"/>
      <c r="F13" s="24"/>
      <c r="G13" s="24"/>
      <c r="H13" s="24" t="n">
        <v>1</v>
      </c>
      <c r="I13" s="24"/>
      <c r="J13" s="24"/>
      <c r="K13" s="24"/>
      <c r="L13" s="24" t="n">
        <v>1</v>
      </c>
      <c r="M13" s="24"/>
      <c r="N13" s="24"/>
      <c r="O13" s="24"/>
      <c r="P13" s="24" t="n">
        <v>1</v>
      </c>
      <c r="Q13" s="24"/>
      <c r="R13" s="24"/>
      <c r="S13" s="24"/>
      <c r="T13" s="24" t="n">
        <v>1</v>
      </c>
      <c r="U13" s="24"/>
      <c r="V13" s="24"/>
      <c r="W13" s="24"/>
      <c r="X13" s="24" t="n">
        <v>1</v>
      </c>
      <c r="Y13" s="24"/>
      <c r="Z13" s="24"/>
      <c r="AA13" s="24"/>
      <c r="AB13" s="24" t="n">
        <v>1</v>
      </c>
      <c r="AC13" s="24"/>
      <c r="AD13" s="24"/>
      <c r="AE13" s="24"/>
      <c r="AF13" s="24" t="n">
        <v>1</v>
      </c>
      <c r="AG13" s="24"/>
      <c r="AH13" s="24"/>
      <c r="AI13" s="24"/>
      <c r="AJ13" s="24" t="n">
        <v>1</v>
      </c>
      <c r="AK13" s="24"/>
      <c r="AL13" s="24"/>
      <c r="AM13" s="24"/>
      <c r="AN13" s="24" t="n">
        <v>1</v>
      </c>
      <c r="AO13" s="24"/>
      <c r="AP13" s="24"/>
      <c r="AQ13" s="24"/>
      <c r="AR13" s="24" t="n">
        <v>1</v>
      </c>
      <c r="AS13" s="24"/>
      <c r="AT13" s="24"/>
      <c r="AU13" s="24"/>
      <c r="AV13" s="24" t="n">
        <v>1</v>
      </c>
      <c r="AW13" s="24"/>
      <c r="AX13" s="24"/>
      <c r="AY13" s="24"/>
      <c r="AZ13" s="25" t="n">
        <f aca="false">SUM(D13:AY13)</f>
        <v>12</v>
      </c>
      <c r="BA13" s="26" t="n">
        <v>40</v>
      </c>
      <c r="BB13" s="27" t="n">
        <f aca="false">AZ13*BA13*$BB$30</f>
        <v>80640</v>
      </c>
    </row>
    <row r="14" customFormat="false" ht="15" hidden="false" customHeight="true" outlineLevel="0" collapsed="false">
      <c r="A14" s="22" t="s">
        <v>70</v>
      </c>
      <c r="B14" s="23" t="s">
        <v>5</v>
      </c>
      <c r="C14" s="22" t="s">
        <v>68</v>
      </c>
      <c r="D14" s="24" t="n">
        <v>1</v>
      </c>
      <c r="E14" s="24"/>
      <c r="F14" s="24"/>
      <c r="G14" s="24"/>
      <c r="H14" s="24" t="n">
        <v>1</v>
      </c>
      <c r="I14" s="24"/>
      <c r="J14" s="24"/>
      <c r="K14" s="24"/>
      <c r="L14" s="24" t="n">
        <v>1</v>
      </c>
      <c r="M14" s="24"/>
      <c r="N14" s="24"/>
      <c r="O14" s="24"/>
      <c r="P14" s="24" t="n">
        <v>1</v>
      </c>
      <c r="Q14" s="24"/>
      <c r="R14" s="24"/>
      <c r="S14" s="24"/>
      <c r="T14" s="24" t="n">
        <v>1</v>
      </c>
      <c r="U14" s="24"/>
      <c r="V14" s="24"/>
      <c r="W14" s="24"/>
      <c r="X14" s="24" t="n">
        <v>1</v>
      </c>
      <c r="Y14" s="24"/>
      <c r="Z14" s="24"/>
      <c r="AA14" s="24"/>
      <c r="AB14" s="24" t="n">
        <v>1</v>
      </c>
      <c r="AC14" s="24"/>
      <c r="AD14" s="24"/>
      <c r="AE14" s="24"/>
      <c r="AF14" s="24" t="n">
        <v>1</v>
      </c>
      <c r="AG14" s="24"/>
      <c r="AH14" s="24"/>
      <c r="AI14" s="24"/>
      <c r="AJ14" s="24" t="n">
        <v>1</v>
      </c>
      <c r="AK14" s="24"/>
      <c r="AL14" s="24"/>
      <c r="AM14" s="24"/>
      <c r="AN14" s="24" t="n">
        <v>1</v>
      </c>
      <c r="AO14" s="24"/>
      <c r="AP14" s="24"/>
      <c r="AQ14" s="24"/>
      <c r="AR14" s="24" t="n">
        <v>1</v>
      </c>
      <c r="AS14" s="24"/>
      <c r="AT14" s="24"/>
      <c r="AU14" s="24"/>
      <c r="AV14" s="24" t="n">
        <v>1</v>
      </c>
      <c r="AW14" s="24"/>
      <c r="AX14" s="24"/>
      <c r="AY14" s="24"/>
      <c r="AZ14" s="25" t="n">
        <f aca="false">SUM(D14:AY14)</f>
        <v>12</v>
      </c>
      <c r="BA14" s="26" t="n">
        <v>40</v>
      </c>
      <c r="BB14" s="27" t="n">
        <f aca="false">AZ14*BA14*$BB$30</f>
        <v>80640</v>
      </c>
    </row>
    <row r="15" customFormat="false" ht="15" hidden="false" customHeight="true" outlineLevel="0" collapsed="false">
      <c r="A15" s="22" t="s">
        <v>71</v>
      </c>
      <c r="B15" s="23" t="s">
        <v>5</v>
      </c>
      <c r="C15" s="22" t="s">
        <v>68</v>
      </c>
      <c r="D15" s="24" t="n">
        <v>1</v>
      </c>
      <c r="E15" s="24"/>
      <c r="F15" s="24"/>
      <c r="G15" s="24"/>
      <c r="H15" s="24" t="n">
        <v>1</v>
      </c>
      <c r="I15" s="24"/>
      <c r="J15" s="24"/>
      <c r="K15" s="24"/>
      <c r="L15" s="24" t="n">
        <v>1</v>
      </c>
      <c r="M15" s="24"/>
      <c r="N15" s="24"/>
      <c r="O15" s="24"/>
      <c r="P15" s="24" t="n">
        <v>1</v>
      </c>
      <c r="Q15" s="24"/>
      <c r="R15" s="24"/>
      <c r="S15" s="24"/>
      <c r="T15" s="24" t="n">
        <v>1</v>
      </c>
      <c r="U15" s="24"/>
      <c r="V15" s="24"/>
      <c r="W15" s="24"/>
      <c r="X15" s="24" t="n">
        <v>1</v>
      </c>
      <c r="Y15" s="24"/>
      <c r="Z15" s="24"/>
      <c r="AA15" s="24"/>
      <c r="AB15" s="24" t="n">
        <v>1</v>
      </c>
      <c r="AC15" s="24"/>
      <c r="AD15" s="24"/>
      <c r="AE15" s="24"/>
      <c r="AF15" s="24" t="n">
        <v>1</v>
      </c>
      <c r="AG15" s="24"/>
      <c r="AH15" s="24"/>
      <c r="AI15" s="24"/>
      <c r="AJ15" s="24" t="n">
        <v>1</v>
      </c>
      <c r="AK15" s="24"/>
      <c r="AL15" s="24"/>
      <c r="AM15" s="24"/>
      <c r="AN15" s="24" t="n">
        <v>1</v>
      </c>
      <c r="AO15" s="24"/>
      <c r="AP15" s="24"/>
      <c r="AQ15" s="24"/>
      <c r="AR15" s="24" t="n">
        <v>1</v>
      </c>
      <c r="AS15" s="24"/>
      <c r="AT15" s="24"/>
      <c r="AU15" s="24"/>
      <c r="AV15" s="24" t="n">
        <v>1</v>
      </c>
      <c r="AW15" s="24"/>
      <c r="AX15" s="24"/>
      <c r="AY15" s="24"/>
      <c r="AZ15" s="25" t="n">
        <f aca="false">SUM(D15:AY15)</f>
        <v>12</v>
      </c>
      <c r="BA15" s="26" t="n">
        <v>40</v>
      </c>
      <c r="BB15" s="27" t="n">
        <f aca="false">AZ15*BA15*$BB$30</f>
        <v>80640</v>
      </c>
    </row>
    <row r="16" customFormat="false" ht="15" hidden="false" customHeight="true" outlineLevel="0" collapsed="false">
      <c r="A16" s="22" t="s">
        <v>72</v>
      </c>
      <c r="B16" s="23" t="s">
        <v>5</v>
      </c>
      <c r="C16" s="22" t="s">
        <v>68</v>
      </c>
      <c r="D16" s="24"/>
      <c r="E16" s="24"/>
      <c r="F16" s="24"/>
      <c r="G16" s="24"/>
      <c r="H16" s="24"/>
      <c r="I16" s="24"/>
      <c r="J16" s="24"/>
      <c r="K16" s="24"/>
      <c r="L16" s="24"/>
      <c r="M16" s="24"/>
      <c r="N16" s="24"/>
      <c r="O16" s="24"/>
      <c r="P16" s="24" t="n">
        <v>1</v>
      </c>
      <c r="Q16" s="24"/>
      <c r="R16" s="24"/>
      <c r="S16" s="24"/>
      <c r="T16" s="24" t="n">
        <v>1</v>
      </c>
      <c r="U16" s="24"/>
      <c r="V16" s="24"/>
      <c r="W16" s="24"/>
      <c r="X16" s="24" t="n">
        <v>1</v>
      </c>
      <c r="Y16" s="24"/>
      <c r="Z16" s="24"/>
      <c r="AA16" s="24"/>
      <c r="AB16" s="24" t="n">
        <v>1</v>
      </c>
      <c r="AC16" s="24"/>
      <c r="AD16" s="24"/>
      <c r="AE16" s="24"/>
      <c r="AF16" s="24" t="n">
        <v>1</v>
      </c>
      <c r="AG16" s="24"/>
      <c r="AH16" s="24"/>
      <c r="AI16" s="24"/>
      <c r="AJ16" s="24" t="n">
        <v>1</v>
      </c>
      <c r="AK16" s="24"/>
      <c r="AL16" s="24"/>
      <c r="AM16" s="24"/>
      <c r="AN16" s="24" t="n">
        <v>1</v>
      </c>
      <c r="AO16" s="24"/>
      <c r="AP16" s="24"/>
      <c r="AQ16" s="24"/>
      <c r="AR16" s="24" t="n">
        <v>0.75</v>
      </c>
      <c r="AS16" s="24"/>
      <c r="AT16" s="24"/>
      <c r="AU16" s="24"/>
      <c r="AV16" s="24" t="n">
        <v>0.3</v>
      </c>
      <c r="AW16" s="24"/>
      <c r="AX16" s="24"/>
      <c r="AY16" s="24"/>
      <c r="AZ16" s="25" t="n">
        <f aca="false">SUM(D16:AY16)</f>
        <v>8.05</v>
      </c>
      <c r="BA16" s="26" t="n">
        <v>40</v>
      </c>
      <c r="BB16" s="27" t="n">
        <f aca="false">AZ16*BA16*$BB$30</f>
        <v>54096</v>
      </c>
    </row>
    <row r="17" customFormat="false" ht="15" hidden="false" customHeight="true" outlineLevel="0" collapsed="false">
      <c r="A17" s="22" t="s">
        <v>73</v>
      </c>
      <c r="B17" s="23" t="s">
        <v>5</v>
      </c>
      <c r="C17" s="22" t="s">
        <v>68</v>
      </c>
      <c r="D17" s="24"/>
      <c r="E17" s="24"/>
      <c r="F17" s="24"/>
      <c r="G17" s="24"/>
      <c r="H17" s="24"/>
      <c r="I17" s="24"/>
      <c r="J17" s="24"/>
      <c r="K17" s="24"/>
      <c r="L17" s="24"/>
      <c r="M17" s="24"/>
      <c r="N17" s="24"/>
      <c r="O17" s="24"/>
      <c r="P17" s="24" t="n">
        <v>1</v>
      </c>
      <c r="Q17" s="24"/>
      <c r="R17" s="24"/>
      <c r="S17" s="24"/>
      <c r="T17" s="24" t="n">
        <v>1</v>
      </c>
      <c r="U17" s="24"/>
      <c r="V17" s="24"/>
      <c r="W17" s="24"/>
      <c r="X17" s="24" t="n">
        <v>1</v>
      </c>
      <c r="Y17" s="24"/>
      <c r="Z17" s="24"/>
      <c r="AA17" s="24"/>
      <c r="AB17" s="24" t="n">
        <v>1</v>
      </c>
      <c r="AC17" s="24"/>
      <c r="AD17" s="24"/>
      <c r="AE17" s="24"/>
      <c r="AF17" s="24" t="n">
        <v>1</v>
      </c>
      <c r="AG17" s="24"/>
      <c r="AH17" s="24"/>
      <c r="AI17" s="24"/>
      <c r="AJ17" s="24" t="n">
        <v>1</v>
      </c>
      <c r="AK17" s="24"/>
      <c r="AL17" s="24"/>
      <c r="AM17" s="24"/>
      <c r="AN17" s="24" t="n">
        <v>1</v>
      </c>
      <c r="AO17" s="24"/>
      <c r="AP17" s="24"/>
      <c r="AQ17" s="24"/>
      <c r="AR17" s="24" t="n">
        <v>0.75</v>
      </c>
      <c r="AS17" s="24"/>
      <c r="AT17" s="24"/>
      <c r="AU17" s="24"/>
      <c r="AV17" s="24"/>
      <c r="AW17" s="24"/>
      <c r="AX17" s="24"/>
      <c r="AY17" s="24"/>
      <c r="AZ17" s="25" t="n">
        <f aca="false">SUM(D17:AY17)</f>
        <v>7.75</v>
      </c>
      <c r="BA17" s="26" t="n">
        <v>40</v>
      </c>
      <c r="BB17" s="27" t="n">
        <f aca="false">AZ17*BA17*$BB$30</f>
        <v>52080</v>
      </c>
    </row>
    <row r="18" customFormat="false" ht="15" hidden="false" customHeight="true" outlineLevel="0" collapsed="false">
      <c r="A18" s="22" t="s">
        <v>74</v>
      </c>
      <c r="B18" s="23" t="s">
        <v>5</v>
      </c>
      <c r="C18" s="22" t="s">
        <v>68</v>
      </c>
      <c r="D18" s="24" t="n">
        <v>1</v>
      </c>
      <c r="E18" s="24"/>
      <c r="F18" s="24"/>
      <c r="G18" s="24"/>
      <c r="H18" s="24" t="n">
        <v>1</v>
      </c>
      <c r="I18" s="24"/>
      <c r="J18" s="24"/>
      <c r="K18" s="24"/>
      <c r="L18" s="24" t="n">
        <v>1</v>
      </c>
      <c r="M18" s="24"/>
      <c r="N18" s="24"/>
      <c r="O18" s="24"/>
      <c r="P18" s="24" t="n">
        <v>1</v>
      </c>
      <c r="Q18" s="24"/>
      <c r="R18" s="24"/>
      <c r="S18" s="24"/>
      <c r="T18" s="24" t="n">
        <v>2</v>
      </c>
      <c r="U18" s="24"/>
      <c r="V18" s="24"/>
      <c r="W18" s="24"/>
      <c r="X18" s="24" t="n">
        <v>2</v>
      </c>
      <c r="Y18" s="24"/>
      <c r="Z18" s="24"/>
      <c r="AA18" s="24"/>
      <c r="AB18" s="24" t="n">
        <v>2</v>
      </c>
      <c r="AC18" s="24"/>
      <c r="AD18" s="24"/>
      <c r="AE18" s="24"/>
      <c r="AF18" s="24" t="n">
        <v>2</v>
      </c>
      <c r="AG18" s="24"/>
      <c r="AH18" s="24"/>
      <c r="AI18" s="24"/>
      <c r="AJ18" s="24" t="n">
        <v>1</v>
      </c>
      <c r="AK18" s="24"/>
      <c r="AL18" s="24"/>
      <c r="AM18" s="24"/>
      <c r="AN18" s="24" t="n">
        <v>1</v>
      </c>
      <c r="AO18" s="24"/>
      <c r="AP18" s="24"/>
      <c r="AQ18" s="24"/>
      <c r="AR18" s="24" t="n">
        <v>1</v>
      </c>
      <c r="AS18" s="24"/>
      <c r="AT18" s="24"/>
      <c r="AU18" s="24"/>
      <c r="AV18" s="24" t="n">
        <v>1</v>
      </c>
      <c r="AW18" s="24"/>
      <c r="AX18" s="24"/>
      <c r="AY18" s="24"/>
      <c r="AZ18" s="25" t="n">
        <f aca="false">SUM(D18:AY18)</f>
        <v>16</v>
      </c>
      <c r="BA18" s="26" t="n">
        <v>40</v>
      </c>
      <c r="BB18" s="27" t="n">
        <f aca="false">AZ18*BA18*$BB$30</f>
        <v>107520</v>
      </c>
    </row>
    <row r="19" customFormat="false" ht="15" hidden="false" customHeight="true" outlineLevel="0" collapsed="false">
      <c r="A19" s="22" t="s">
        <v>75</v>
      </c>
      <c r="B19" s="23" t="s">
        <v>5</v>
      </c>
      <c r="C19" s="22" t="s">
        <v>68</v>
      </c>
      <c r="D19" s="24" t="n">
        <v>2</v>
      </c>
      <c r="E19" s="24"/>
      <c r="F19" s="24"/>
      <c r="G19" s="24"/>
      <c r="H19" s="24" t="n">
        <v>2</v>
      </c>
      <c r="I19" s="24"/>
      <c r="J19" s="24"/>
      <c r="K19" s="24"/>
      <c r="L19" s="24" t="n">
        <v>2</v>
      </c>
      <c r="M19" s="24"/>
      <c r="N19" s="24"/>
      <c r="O19" s="24"/>
      <c r="P19" s="24" t="n">
        <v>2</v>
      </c>
      <c r="Q19" s="24"/>
      <c r="R19" s="24"/>
      <c r="S19" s="24"/>
      <c r="T19" s="24" t="n">
        <v>2</v>
      </c>
      <c r="U19" s="24"/>
      <c r="V19" s="24"/>
      <c r="W19" s="24"/>
      <c r="X19" s="24" t="n">
        <v>2</v>
      </c>
      <c r="Y19" s="24"/>
      <c r="Z19" s="24"/>
      <c r="AA19" s="24"/>
      <c r="AB19" s="24" t="n">
        <v>2</v>
      </c>
      <c r="AC19" s="24"/>
      <c r="AD19" s="24"/>
      <c r="AE19" s="24"/>
      <c r="AF19" s="24" t="n">
        <v>2</v>
      </c>
      <c r="AG19" s="24"/>
      <c r="AH19" s="24"/>
      <c r="AI19" s="24"/>
      <c r="AJ19" s="24" t="n">
        <v>2</v>
      </c>
      <c r="AK19" s="24"/>
      <c r="AL19" s="24"/>
      <c r="AM19" s="24"/>
      <c r="AN19" s="24" t="n">
        <v>2</v>
      </c>
      <c r="AO19" s="24"/>
      <c r="AP19" s="24"/>
      <c r="AQ19" s="24"/>
      <c r="AR19" s="24" t="n">
        <v>2</v>
      </c>
      <c r="AS19" s="24"/>
      <c r="AT19" s="24"/>
      <c r="AU19" s="24"/>
      <c r="AV19" s="24" t="n">
        <v>2</v>
      </c>
      <c r="AW19" s="24"/>
      <c r="AX19" s="24"/>
      <c r="AY19" s="24"/>
      <c r="AZ19" s="25" t="n">
        <f aca="false">SUM(D19:AY19)</f>
        <v>24</v>
      </c>
      <c r="BA19" s="26" t="n">
        <v>40</v>
      </c>
      <c r="BB19" s="27" t="n">
        <f aca="false">AZ19*BA19*$BB$30</f>
        <v>161280</v>
      </c>
    </row>
    <row r="20" customFormat="false" ht="15" hidden="false" customHeight="true" outlineLevel="0" collapsed="false">
      <c r="A20" s="22" t="s">
        <v>76</v>
      </c>
      <c r="B20" s="23" t="s">
        <v>5</v>
      </c>
      <c r="C20" s="22" t="s">
        <v>68</v>
      </c>
      <c r="D20" s="24" t="n">
        <v>1</v>
      </c>
      <c r="E20" s="24"/>
      <c r="F20" s="24"/>
      <c r="G20" s="24"/>
      <c r="H20" s="24" t="n">
        <v>1</v>
      </c>
      <c r="I20" s="24"/>
      <c r="J20" s="24"/>
      <c r="K20" s="24"/>
      <c r="L20" s="24" t="n">
        <v>1</v>
      </c>
      <c r="M20" s="24"/>
      <c r="N20" s="24"/>
      <c r="O20" s="24"/>
      <c r="P20" s="24" t="n">
        <v>1</v>
      </c>
      <c r="Q20" s="24"/>
      <c r="R20" s="24"/>
      <c r="S20" s="24"/>
      <c r="T20" s="24" t="n">
        <v>1</v>
      </c>
      <c r="U20" s="24"/>
      <c r="V20" s="24"/>
      <c r="W20" s="24"/>
      <c r="X20" s="24" t="n">
        <v>1</v>
      </c>
      <c r="Y20" s="24"/>
      <c r="Z20" s="24"/>
      <c r="AA20" s="24"/>
      <c r="AB20" s="24" t="n">
        <v>1</v>
      </c>
      <c r="AC20" s="24"/>
      <c r="AD20" s="24"/>
      <c r="AE20" s="24"/>
      <c r="AF20" s="24" t="n">
        <v>1</v>
      </c>
      <c r="AG20" s="24"/>
      <c r="AH20" s="24"/>
      <c r="AI20" s="24"/>
      <c r="AJ20" s="24" t="n">
        <v>1</v>
      </c>
      <c r="AK20" s="24"/>
      <c r="AL20" s="24"/>
      <c r="AM20" s="24"/>
      <c r="AN20" s="24" t="n">
        <v>1</v>
      </c>
      <c r="AO20" s="24"/>
      <c r="AP20" s="24"/>
      <c r="AQ20" s="24"/>
      <c r="AR20" s="24" t="n">
        <v>1</v>
      </c>
      <c r="AS20" s="24"/>
      <c r="AT20" s="24"/>
      <c r="AU20" s="24"/>
      <c r="AV20" s="24" t="n">
        <v>1</v>
      </c>
      <c r="AW20" s="24"/>
      <c r="AX20" s="24"/>
      <c r="AY20" s="24"/>
      <c r="AZ20" s="25" t="n">
        <f aca="false">SUM(D20:AY20)</f>
        <v>12</v>
      </c>
      <c r="BA20" s="26" t="n">
        <v>40</v>
      </c>
      <c r="BB20" s="27" t="n">
        <f aca="false">AZ20*BA20*$BB$30</f>
        <v>80640</v>
      </c>
    </row>
    <row r="21" customFormat="false" ht="15" hidden="false" customHeight="true" outlineLevel="0" collapsed="false">
      <c r="A21" s="22" t="s">
        <v>77</v>
      </c>
      <c r="B21" s="23" t="s">
        <v>5</v>
      </c>
      <c r="C21" s="22" t="s">
        <v>68</v>
      </c>
      <c r="D21" s="24"/>
      <c r="E21" s="24"/>
      <c r="F21" s="24"/>
      <c r="G21" s="24"/>
      <c r="H21" s="24" t="n">
        <v>2</v>
      </c>
      <c r="I21" s="24"/>
      <c r="J21" s="24"/>
      <c r="K21" s="24"/>
      <c r="L21" s="24" t="n">
        <v>2</v>
      </c>
      <c r="M21" s="24"/>
      <c r="N21" s="24"/>
      <c r="O21" s="24"/>
      <c r="P21" s="24" t="n">
        <v>2</v>
      </c>
      <c r="Q21" s="24"/>
      <c r="R21" s="24"/>
      <c r="S21" s="24"/>
      <c r="T21" s="24" t="n">
        <v>2</v>
      </c>
      <c r="U21" s="24"/>
      <c r="V21" s="24"/>
      <c r="W21" s="24"/>
      <c r="X21" s="24" t="n">
        <v>2</v>
      </c>
      <c r="Y21" s="24"/>
      <c r="Z21" s="24"/>
      <c r="AA21" s="24"/>
      <c r="AB21" s="24" t="n">
        <v>1</v>
      </c>
      <c r="AC21" s="24"/>
      <c r="AD21" s="24"/>
      <c r="AE21" s="24"/>
      <c r="AF21" s="24" t="n">
        <v>1</v>
      </c>
      <c r="AG21" s="24"/>
      <c r="AH21" s="24"/>
      <c r="AI21" s="24"/>
      <c r="AJ21" s="24" t="n">
        <v>1</v>
      </c>
      <c r="AK21" s="24"/>
      <c r="AL21" s="24"/>
      <c r="AM21" s="24"/>
      <c r="AN21" s="24" t="n">
        <v>1</v>
      </c>
      <c r="AO21" s="24"/>
      <c r="AP21" s="24"/>
      <c r="AQ21" s="24"/>
      <c r="AR21" s="24" t="n">
        <v>1</v>
      </c>
      <c r="AS21" s="24"/>
      <c r="AT21" s="24"/>
      <c r="AU21" s="24"/>
      <c r="AV21" s="24" t="n">
        <v>1</v>
      </c>
      <c r="AW21" s="24"/>
      <c r="AX21" s="24"/>
      <c r="AY21" s="24"/>
      <c r="AZ21" s="25" t="n">
        <f aca="false">SUM(D21:AY21)</f>
        <v>16</v>
      </c>
      <c r="BA21" s="26" t="n">
        <v>40</v>
      </c>
      <c r="BB21" s="27" t="n">
        <f aca="false">AZ21*BA21*$BB$30</f>
        <v>107520</v>
      </c>
    </row>
    <row r="22" customFormat="false" ht="15" hidden="false" customHeight="true" outlineLevel="0" collapsed="false">
      <c r="A22" s="22" t="s">
        <v>78</v>
      </c>
      <c r="B22" s="23" t="s">
        <v>5</v>
      </c>
      <c r="C22" s="22" t="s">
        <v>68</v>
      </c>
      <c r="D22" s="24"/>
      <c r="E22" s="24"/>
      <c r="F22" s="24"/>
      <c r="G22" s="24"/>
      <c r="H22" s="24" t="n">
        <v>1</v>
      </c>
      <c r="I22" s="24"/>
      <c r="J22" s="24"/>
      <c r="K22" s="24"/>
      <c r="L22" s="24" t="n">
        <v>1</v>
      </c>
      <c r="M22" s="24"/>
      <c r="N22" s="24"/>
      <c r="O22" s="24"/>
      <c r="P22" s="24" t="n">
        <v>1</v>
      </c>
      <c r="Q22" s="24"/>
      <c r="R22" s="24"/>
      <c r="S22" s="24"/>
      <c r="T22" s="24" t="n">
        <v>1</v>
      </c>
      <c r="U22" s="24"/>
      <c r="V22" s="24"/>
      <c r="W22" s="24"/>
      <c r="X22" s="24" t="n">
        <v>1</v>
      </c>
      <c r="Y22" s="24"/>
      <c r="Z22" s="24"/>
      <c r="AA22" s="24"/>
      <c r="AB22" s="24" t="n">
        <v>1</v>
      </c>
      <c r="AC22" s="24"/>
      <c r="AD22" s="24"/>
      <c r="AE22" s="24"/>
      <c r="AF22" s="24" t="n">
        <v>1</v>
      </c>
      <c r="AG22" s="24"/>
      <c r="AH22" s="24"/>
      <c r="AI22" s="24"/>
      <c r="AJ22" s="24" t="n">
        <v>2</v>
      </c>
      <c r="AK22" s="24"/>
      <c r="AL22" s="24"/>
      <c r="AM22" s="24"/>
      <c r="AN22" s="24" t="n">
        <v>1.5</v>
      </c>
      <c r="AO22" s="24"/>
      <c r="AP22" s="24"/>
      <c r="AQ22" s="24"/>
      <c r="AR22" s="24" t="n">
        <v>1.5</v>
      </c>
      <c r="AS22" s="24"/>
      <c r="AT22" s="24"/>
      <c r="AU22" s="24"/>
      <c r="AV22" s="24" t="n">
        <v>1.3</v>
      </c>
      <c r="AW22" s="24"/>
      <c r="AX22" s="24"/>
      <c r="AY22" s="24"/>
      <c r="AZ22" s="25" t="n">
        <f aca="false">SUM(D22:AY22)</f>
        <v>13.3</v>
      </c>
      <c r="BA22" s="26" t="n">
        <v>40</v>
      </c>
      <c r="BB22" s="27" t="n">
        <f aca="false">AZ22*BA22*$BB$30</f>
        <v>89376</v>
      </c>
    </row>
    <row r="23" customFormat="false" ht="15" hidden="false" customHeight="true" outlineLevel="0" collapsed="false">
      <c r="A23" s="22" t="s">
        <v>79</v>
      </c>
      <c r="B23" s="23" t="s">
        <v>5</v>
      </c>
      <c r="C23" s="22" t="s">
        <v>68</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t="n">
        <v>1</v>
      </c>
      <c r="AC23" s="24"/>
      <c r="AD23" s="24"/>
      <c r="AE23" s="24"/>
      <c r="AF23" s="24" t="n">
        <v>1</v>
      </c>
      <c r="AG23" s="24"/>
      <c r="AH23" s="24"/>
      <c r="AI23" s="24"/>
      <c r="AJ23" s="24" t="n">
        <v>2</v>
      </c>
      <c r="AK23" s="24"/>
      <c r="AL23" s="24"/>
      <c r="AM23" s="24"/>
      <c r="AN23" s="24" t="n">
        <v>2</v>
      </c>
      <c r="AO23" s="24"/>
      <c r="AP23" s="24"/>
      <c r="AQ23" s="24"/>
      <c r="AR23" s="24" t="n">
        <v>2</v>
      </c>
      <c r="AS23" s="24"/>
      <c r="AT23" s="24"/>
      <c r="AU23" s="24"/>
      <c r="AV23" s="24" t="n">
        <v>2</v>
      </c>
      <c r="AW23" s="24"/>
      <c r="AX23" s="24"/>
      <c r="AY23" s="24"/>
      <c r="AZ23" s="25" t="n">
        <f aca="false">SUM(D23:AY23)</f>
        <v>10</v>
      </c>
      <c r="BA23" s="26" t="n">
        <v>40</v>
      </c>
      <c r="BB23" s="27" t="n">
        <f aca="false">AZ23*BA23*$BB$30</f>
        <v>67200</v>
      </c>
    </row>
    <row r="24" customFormat="false" ht="15" hidden="false" customHeight="true" outlineLevel="0" collapsed="false">
      <c r="A24" s="22"/>
      <c r="B24" s="23" t="s">
        <v>5</v>
      </c>
      <c r="C24" s="22"/>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5" t="n">
        <f aca="false">SUM(D24:AY24)</f>
        <v>0</v>
      </c>
      <c r="BA24" s="26" t="n">
        <v>0</v>
      </c>
      <c r="BB24" s="27" t="n">
        <f aca="false">AZ24*BA24*$BB$30</f>
        <v>0</v>
      </c>
    </row>
    <row r="25" customFormat="false" ht="15" hidden="false" customHeight="true" outlineLevel="0" collapsed="false">
      <c r="A25" s="22"/>
      <c r="B25" s="23" t="s">
        <v>5</v>
      </c>
      <c r="C25" s="22"/>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5" t="n">
        <f aca="false">SUM(D25:AY25)</f>
        <v>0</v>
      </c>
      <c r="BA25" s="26" t="n">
        <v>0</v>
      </c>
      <c r="BB25" s="27" t="n">
        <f aca="false">AZ25*BA25*$BB$30</f>
        <v>0</v>
      </c>
    </row>
    <row r="26" customFormat="false" ht="15" hidden="false" customHeight="true" outlineLevel="0" collapsed="false">
      <c r="A26" s="28" t="s">
        <v>80</v>
      </c>
      <c r="B26" s="28"/>
      <c r="C26" s="28"/>
      <c r="D26" s="29" t="n">
        <f aca="false">SUM(D12:D25)</f>
        <v>7.5</v>
      </c>
      <c r="E26" s="29"/>
      <c r="F26" s="29"/>
      <c r="G26" s="29"/>
      <c r="H26" s="29" t="n">
        <f aca="false">SUM(H12:H25)</f>
        <v>10.5</v>
      </c>
      <c r="I26" s="29"/>
      <c r="J26" s="29"/>
      <c r="K26" s="29"/>
      <c r="L26" s="29" t="n">
        <f aca="false">SUM(L12:L25)</f>
        <v>10.5</v>
      </c>
      <c r="M26" s="29"/>
      <c r="N26" s="29"/>
      <c r="O26" s="29"/>
      <c r="P26" s="29" t="n">
        <f aca="false">SUM(P12:P25)</f>
        <v>12.2</v>
      </c>
      <c r="Q26" s="29"/>
      <c r="R26" s="29"/>
      <c r="S26" s="29"/>
      <c r="T26" s="29" t="n">
        <f aca="false">SUM(T12:T25)</f>
        <v>13.2</v>
      </c>
      <c r="U26" s="29"/>
      <c r="V26" s="29"/>
      <c r="W26" s="29"/>
      <c r="X26" s="29" t="n">
        <f aca="false">SUM(X12:X25)</f>
        <v>13.2</v>
      </c>
      <c r="Y26" s="29"/>
      <c r="Z26" s="29"/>
      <c r="AA26" s="29"/>
      <c r="AB26" s="29" t="n">
        <f aca="false">SUM(AB12:AB25)</f>
        <v>13.2</v>
      </c>
      <c r="AC26" s="29"/>
      <c r="AD26" s="29"/>
      <c r="AE26" s="29"/>
      <c r="AF26" s="29" t="n">
        <f aca="false">SUM(AF12:AF25)</f>
        <v>13.2</v>
      </c>
      <c r="AG26" s="29"/>
      <c r="AH26" s="29"/>
      <c r="AI26" s="29"/>
      <c r="AJ26" s="29" t="n">
        <f aca="false">SUM(AJ12:AJ25)</f>
        <v>14.1</v>
      </c>
      <c r="AK26" s="29"/>
      <c r="AL26" s="29"/>
      <c r="AM26" s="29"/>
      <c r="AN26" s="29" t="n">
        <f aca="false">SUM(AN12:AN25)</f>
        <v>13.6</v>
      </c>
      <c r="AO26" s="29"/>
      <c r="AP26" s="29"/>
      <c r="AQ26" s="29"/>
      <c r="AR26" s="29" t="n">
        <f aca="false">SUM(AR12:AR25)</f>
        <v>13.2</v>
      </c>
      <c r="AS26" s="29"/>
      <c r="AT26" s="29"/>
      <c r="AU26" s="29"/>
      <c r="AV26" s="29" t="n">
        <f aca="false">SUM(AV12:AV25)</f>
        <v>11.8</v>
      </c>
      <c r="AW26" s="29"/>
      <c r="AX26" s="29"/>
      <c r="AY26" s="29"/>
      <c r="AZ26" s="29" t="n">
        <f aca="false">SUM(AZ12:AZ25)</f>
        <v>146.2</v>
      </c>
      <c r="BA26" s="30"/>
      <c r="BB26" s="31" t="n">
        <f aca="false">SUM(BB12:BB25)</f>
        <v>982464</v>
      </c>
    </row>
    <row r="27" customFormat="false" ht="15" hidden="false" customHeight="true" outlineLevel="0" collapsed="false">
      <c r="A27" s="32" t="s">
        <v>81</v>
      </c>
      <c r="B27" s="32"/>
      <c r="C27" s="32"/>
      <c r="D27" s="32"/>
      <c r="E27" s="32"/>
      <c r="F27" s="32"/>
      <c r="G27" s="32"/>
      <c r="H27" s="32"/>
      <c r="I27" s="32"/>
      <c r="J27" s="32"/>
      <c r="K27" s="32"/>
      <c r="L27" s="32"/>
      <c r="M27" s="32"/>
      <c r="N27" s="32"/>
      <c r="O27" s="32"/>
      <c r="P27" s="32"/>
      <c r="Q27" s="32"/>
      <c r="R27" s="32"/>
      <c r="S27" s="32"/>
      <c r="T27" s="32"/>
    </row>
    <row r="28" customFormat="false" ht="15" hidden="false" customHeight="true" outlineLevel="0" collapsed="false">
      <c r="AZ28" s="33" t="s">
        <v>82</v>
      </c>
      <c r="BA28" s="33"/>
      <c r="BB28" s="34" t="n">
        <f aca="false">BB26</f>
        <v>982464</v>
      </c>
    </row>
    <row r="29" customFormat="false" ht="15" hidden="false" customHeight="true" outlineLevel="0" collapsed="false">
      <c r="AZ29" s="33" t="s">
        <v>83</v>
      </c>
      <c r="BA29" s="33"/>
      <c r="BB29" s="35" t="n">
        <f aca="false">'Executive Summary'!$E$1*BB28</f>
        <v>83509440</v>
      </c>
    </row>
    <row r="30" customFormat="false" ht="23.25" hidden="false" customHeight="true" outlineLevel="0" collapsed="false">
      <c r="AZ30" s="33" t="s">
        <v>84</v>
      </c>
      <c r="BA30" s="33"/>
      <c r="BB30" s="36" t="n">
        <v>168</v>
      </c>
    </row>
    <row r="33" customFormat="false" ht="15" hidden="false" customHeight="true" outlineLevel="0" collapsed="false">
      <c r="A33" s="37" t="s">
        <v>85</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row>
    <row r="34" customFormat="false" ht="15" hidden="false" customHeight="true" outlineLevel="0" collapsed="false">
      <c r="A34" s="16" t="s">
        <v>86</v>
      </c>
      <c r="B34" s="16"/>
      <c r="C34" s="16"/>
      <c r="D34" s="16" t="s">
        <v>87</v>
      </c>
      <c r="E34" s="16"/>
      <c r="F34" s="16"/>
      <c r="G34" s="16"/>
      <c r="H34" s="16" t="s">
        <v>88</v>
      </c>
      <c r="I34" s="16"/>
      <c r="J34" s="16"/>
      <c r="K34" s="16"/>
      <c r="L34" s="16" t="s">
        <v>89</v>
      </c>
      <c r="M34" s="16"/>
      <c r="N34" s="16"/>
      <c r="O34" s="16"/>
      <c r="P34" s="16" t="s">
        <v>90</v>
      </c>
      <c r="Q34" s="16"/>
      <c r="R34" s="16"/>
      <c r="S34" s="16"/>
      <c r="T34" s="16" t="s">
        <v>91</v>
      </c>
      <c r="U34" s="16"/>
      <c r="V34" s="16"/>
      <c r="W34" s="16"/>
      <c r="X34" s="16" t="s">
        <v>92</v>
      </c>
      <c r="Y34" s="16"/>
      <c r="Z34" s="16"/>
      <c r="AA34" s="16"/>
    </row>
    <row r="35" customFormat="false" ht="15" hidden="false" customHeight="true" outlineLevel="0" collapsed="false">
      <c r="A35" s="38" t="s">
        <v>93</v>
      </c>
      <c r="B35" s="38"/>
      <c r="C35" s="38"/>
      <c r="D35" s="39" t="n">
        <v>24</v>
      </c>
      <c r="E35" s="39"/>
      <c r="F35" s="39"/>
      <c r="G35" s="39"/>
      <c r="H35" s="39" t="n">
        <v>15.8</v>
      </c>
      <c r="I35" s="39"/>
      <c r="J35" s="39"/>
      <c r="K35" s="39"/>
      <c r="L35" s="39" t="n">
        <v>40</v>
      </c>
      <c r="M35" s="39"/>
      <c r="N35" s="39"/>
      <c r="O35" s="39"/>
      <c r="P35" s="39" t="n">
        <v>25.3</v>
      </c>
      <c r="Q35" s="39"/>
      <c r="R35" s="39"/>
      <c r="S35" s="39"/>
      <c r="T35" s="39" t="n">
        <v>10</v>
      </c>
      <c r="U35" s="39"/>
      <c r="V35" s="39"/>
      <c r="W35" s="39"/>
      <c r="X35" s="39" t="n">
        <v>12</v>
      </c>
      <c r="Y35" s="39"/>
      <c r="Z35" s="39"/>
      <c r="AA35" s="39"/>
    </row>
    <row r="36" customFormat="false" ht="15" hidden="false" customHeight="true" outlineLevel="0" collapsed="false">
      <c r="A36" s="38" t="s">
        <v>94</v>
      </c>
      <c r="B36" s="38"/>
      <c r="C36" s="38"/>
      <c r="D36" s="27" t="n">
        <f aca="false">(D35/$AZ$26)*'Executive Summary'!$E$14</f>
        <v>164158.686730506</v>
      </c>
      <c r="E36" s="27"/>
      <c r="F36" s="27"/>
      <c r="G36" s="27"/>
      <c r="H36" s="27" t="n">
        <f aca="false">(H35/$AZ$26)*'Executive Summary'!$E$14</f>
        <v>108071.135430917</v>
      </c>
      <c r="I36" s="27"/>
      <c r="J36" s="27"/>
      <c r="K36" s="27"/>
      <c r="L36" s="27" t="n">
        <f aca="false">(L35/$AZ$26)*'Executive Summary'!$E$14</f>
        <v>273597.81121751</v>
      </c>
      <c r="M36" s="27"/>
      <c r="N36" s="27"/>
      <c r="O36" s="27"/>
      <c r="P36" s="27" t="n">
        <f aca="false">(P35/$AZ$26)*'Executive Summary'!$E$14</f>
        <v>173050.615595075</v>
      </c>
      <c r="Q36" s="27"/>
      <c r="R36" s="27"/>
      <c r="S36" s="27"/>
      <c r="T36" s="27" t="n">
        <f aca="false">(T35/$AZ$26)*'Executive Summary'!$E$14</f>
        <v>68399.4528043776</v>
      </c>
      <c r="U36" s="27"/>
      <c r="V36" s="27"/>
      <c r="W36" s="27"/>
      <c r="X36" s="27" t="n">
        <f aca="false">(X35/$AZ$26)*'Executive Summary'!$E$14</f>
        <v>82079.3433652531</v>
      </c>
      <c r="Y36" s="27"/>
      <c r="Z36" s="27"/>
      <c r="AA36" s="27"/>
    </row>
    <row r="40" customFormat="false" ht="15" hidden="false" customHeight="true" outlineLevel="0" collapsed="false">
      <c r="A40" s="37" t="s">
        <v>95</v>
      </c>
      <c r="B40" s="37"/>
      <c r="C40" s="37"/>
      <c r="D40" s="37"/>
      <c r="E40" s="37"/>
      <c r="F40" s="37"/>
      <c r="G40" s="37"/>
    </row>
    <row r="41" customFormat="false" ht="15" hidden="false" customHeight="true" outlineLevel="0" collapsed="false">
      <c r="A41" s="16" t="s">
        <v>64</v>
      </c>
      <c r="B41" s="16"/>
      <c r="C41" s="16"/>
      <c r="D41" s="16" t="s">
        <v>45</v>
      </c>
      <c r="E41" s="16"/>
      <c r="F41" s="16"/>
      <c r="G41" s="16"/>
      <c r="H41" s="16" t="s">
        <v>46</v>
      </c>
      <c r="I41" s="16"/>
      <c r="J41" s="16"/>
      <c r="K41" s="16"/>
      <c r="L41" s="16" t="s">
        <v>47</v>
      </c>
      <c r="M41" s="16"/>
      <c r="N41" s="16"/>
      <c r="O41" s="16"/>
      <c r="P41" s="16" t="s">
        <v>48</v>
      </c>
      <c r="Q41" s="16"/>
      <c r="R41" s="16"/>
      <c r="S41" s="16"/>
      <c r="T41" s="16" t="s">
        <v>49</v>
      </c>
      <c r="U41" s="16"/>
      <c r="V41" s="16"/>
      <c r="W41" s="16"/>
      <c r="X41" s="16" t="s">
        <v>50</v>
      </c>
      <c r="Y41" s="16"/>
      <c r="Z41" s="16"/>
      <c r="AA41" s="16"/>
      <c r="AB41" s="16" t="s">
        <v>51</v>
      </c>
      <c r="AC41" s="16"/>
      <c r="AD41" s="16"/>
      <c r="AE41" s="16"/>
      <c r="AF41" s="16" t="s">
        <v>52</v>
      </c>
      <c r="AG41" s="16"/>
      <c r="AH41" s="16"/>
      <c r="AI41" s="16"/>
      <c r="AJ41" s="16" t="s">
        <v>53</v>
      </c>
      <c r="AK41" s="16"/>
      <c r="AL41" s="16"/>
      <c r="AM41" s="16"/>
      <c r="AN41" s="16" t="s">
        <v>54</v>
      </c>
      <c r="AO41" s="16"/>
      <c r="AP41" s="16"/>
      <c r="AQ41" s="16"/>
      <c r="AR41" s="16" t="s">
        <v>55</v>
      </c>
      <c r="AS41" s="16"/>
      <c r="AT41" s="16"/>
      <c r="AU41" s="16"/>
      <c r="AV41" s="16" t="s">
        <v>56</v>
      </c>
      <c r="AW41" s="16"/>
      <c r="AX41" s="16"/>
      <c r="AY41" s="16"/>
      <c r="AZ41" s="16" t="s">
        <v>96</v>
      </c>
      <c r="BA41" s="16" t="s">
        <v>97</v>
      </c>
    </row>
    <row r="42" customFormat="false" ht="15" hidden="false" customHeight="true" outlineLevel="0" collapsed="false">
      <c r="A42" s="40" t="s">
        <v>98</v>
      </c>
      <c r="B42" s="40"/>
      <c r="C42" s="40"/>
      <c r="D42" s="41" t="n">
        <f aca="false">(D26/$AZ$26)*'Executive Summary'!$E$14</f>
        <v>51299.5896032832</v>
      </c>
      <c r="E42" s="41"/>
      <c r="F42" s="41"/>
      <c r="G42" s="41"/>
      <c r="H42" s="41" t="n">
        <f aca="false">(H26/$AZ$26)*'Executive Summary'!$E$14</f>
        <v>71819.4254445965</v>
      </c>
      <c r="I42" s="41"/>
      <c r="J42" s="41"/>
      <c r="K42" s="41"/>
      <c r="L42" s="41" t="n">
        <f aca="false">(L26/$AZ$26)*'Executive Summary'!$E$14</f>
        <v>71819.4254445965</v>
      </c>
      <c r="M42" s="41"/>
      <c r="N42" s="41"/>
      <c r="O42" s="41"/>
      <c r="P42" s="41" t="n">
        <f aca="false">(P26/$AZ$26)*'Executive Summary'!$E$14</f>
        <v>83447.3324213406</v>
      </c>
      <c r="Q42" s="41"/>
      <c r="R42" s="41"/>
      <c r="S42" s="41"/>
      <c r="T42" s="41" t="n">
        <f aca="false">(T26/$AZ$26)*'Executive Summary'!$E$14</f>
        <v>90287.2777017784</v>
      </c>
      <c r="U42" s="41"/>
      <c r="V42" s="41"/>
      <c r="W42" s="41"/>
      <c r="X42" s="41" t="n">
        <f aca="false">(X26/$AZ$26)*'Executive Summary'!$E$14</f>
        <v>90287.2777017784</v>
      </c>
      <c r="Y42" s="41"/>
      <c r="Z42" s="41"/>
      <c r="AA42" s="41"/>
      <c r="AB42" s="41" t="n">
        <f aca="false">(AB26/$AZ$26)*'Executive Summary'!$E$14</f>
        <v>90287.2777017784</v>
      </c>
      <c r="AC42" s="41"/>
      <c r="AD42" s="41"/>
      <c r="AE42" s="41"/>
      <c r="AF42" s="41" t="n">
        <f aca="false">(AF26/$AZ$26)*'Executive Summary'!$E$14</f>
        <v>90287.2777017784</v>
      </c>
      <c r="AG42" s="41"/>
      <c r="AH42" s="41"/>
      <c r="AI42" s="41"/>
      <c r="AJ42" s="41" t="n">
        <f aca="false">(AJ26/$AZ$26)*'Executive Summary'!$E$14</f>
        <v>96443.2284541724</v>
      </c>
      <c r="AK42" s="41"/>
      <c r="AL42" s="41"/>
      <c r="AM42" s="41"/>
      <c r="AN42" s="41" t="n">
        <f aca="false">(AN26/$AZ$26)*'Executive Summary'!$E$14</f>
        <v>93023.2558139535</v>
      </c>
      <c r="AO42" s="41"/>
      <c r="AP42" s="41"/>
      <c r="AQ42" s="41"/>
      <c r="AR42" s="41" t="n">
        <f aca="false">(AR26/$AZ$26)*'Executive Summary'!$E$14</f>
        <v>90287.2777017784</v>
      </c>
      <c r="AS42" s="41"/>
      <c r="AT42" s="41"/>
      <c r="AU42" s="41"/>
      <c r="AV42" s="41" t="n">
        <f aca="false">(AV26/$AZ$26)*'Executive Summary'!$E$14</f>
        <v>80711.3543091655</v>
      </c>
      <c r="AW42" s="41"/>
      <c r="AX42" s="41"/>
      <c r="AY42" s="41"/>
      <c r="AZ42" s="42" t="n">
        <f aca="false">SUM(D42:AY42)</f>
        <v>1000000</v>
      </c>
      <c r="BA42" s="43"/>
    </row>
    <row r="43" customFormat="false" ht="23.25" hidden="false" customHeight="true" outlineLevel="0" collapsed="false">
      <c r="A43" s="40" t="s">
        <v>99</v>
      </c>
      <c r="B43" s="40"/>
      <c r="C43" s="40"/>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2" t="n">
        <f aca="false">SUM(D43:AY43)</f>
        <v>0</v>
      </c>
      <c r="BA43" s="42" t="n">
        <f aca="false">AZ42-AZ43</f>
        <v>1000000</v>
      </c>
    </row>
    <row r="44" customFormat="false" ht="23.25" hidden="false" customHeight="true" outlineLevel="0" collapsed="false">
      <c r="A44" s="40" t="s">
        <v>100</v>
      </c>
      <c r="B44" s="40"/>
      <c r="C44" s="40"/>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2" t="n">
        <f aca="false">SUM(D44:AY44)</f>
        <v>0</v>
      </c>
      <c r="BA44" s="42" t="n">
        <f aca="false">AZ42-AZ44</f>
        <v>1000000</v>
      </c>
    </row>
  </sheetData>
  <mergeCells count="292">
    <mergeCell ref="A1:C1"/>
    <mergeCell ref="D1:G1"/>
    <mergeCell ref="H1:K1"/>
    <mergeCell ref="L1:O1"/>
    <mergeCell ref="P1:S1"/>
    <mergeCell ref="T1:W1"/>
    <mergeCell ref="X1:AA1"/>
    <mergeCell ref="AB1:AE1"/>
    <mergeCell ref="AF1:AI1"/>
    <mergeCell ref="AJ1:AM1"/>
    <mergeCell ref="AN1:AQ1"/>
    <mergeCell ref="AR1:AU1"/>
    <mergeCell ref="AV1:AY1"/>
    <mergeCell ref="A2:C2"/>
    <mergeCell ref="A3:C3"/>
    <mergeCell ref="A4:C4"/>
    <mergeCell ref="A5:C5"/>
    <mergeCell ref="A6:C6"/>
    <mergeCell ref="A7:C7"/>
    <mergeCell ref="A8:C8"/>
    <mergeCell ref="D11:G11"/>
    <mergeCell ref="H11:K11"/>
    <mergeCell ref="L11:O11"/>
    <mergeCell ref="P11:S11"/>
    <mergeCell ref="T11:W11"/>
    <mergeCell ref="X11:AA11"/>
    <mergeCell ref="AB11:AE11"/>
    <mergeCell ref="AF11:AI11"/>
    <mergeCell ref="AJ11:AM11"/>
    <mergeCell ref="AN11:AQ11"/>
    <mergeCell ref="AR11:AU11"/>
    <mergeCell ref="AV11:AY11"/>
    <mergeCell ref="D12:G12"/>
    <mergeCell ref="H12:K12"/>
    <mergeCell ref="L12:O12"/>
    <mergeCell ref="P12:S12"/>
    <mergeCell ref="T12:W12"/>
    <mergeCell ref="X12:AA12"/>
    <mergeCell ref="AB12:AE12"/>
    <mergeCell ref="AF12:AI12"/>
    <mergeCell ref="AJ12:AM12"/>
    <mergeCell ref="AN12:AQ12"/>
    <mergeCell ref="AR12:AU12"/>
    <mergeCell ref="AV12:AY12"/>
    <mergeCell ref="D13:G13"/>
    <mergeCell ref="H13:K13"/>
    <mergeCell ref="L13:O13"/>
    <mergeCell ref="P13:S13"/>
    <mergeCell ref="T13:W13"/>
    <mergeCell ref="X13:AA13"/>
    <mergeCell ref="AB13:AE13"/>
    <mergeCell ref="AF13:AI13"/>
    <mergeCell ref="AJ13:AM13"/>
    <mergeCell ref="AN13:AQ13"/>
    <mergeCell ref="AR13:AU13"/>
    <mergeCell ref="AV13:AY13"/>
    <mergeCell ref="D14:G14"/>
    <mergeCell ref="H14:K14"/>
    <mergeCell ref="L14:O14"/>
    <mergeCell ref="P14:S14"/>
    <mergeCell ref="T14:W14"/>
    <mergeCell ref="X14:AA14"/>
    <mergeCell ref="AB14:AE14"/>
    <mergeCell ref="AF14:AI14"/>
    <mergeCell ref="AJ14:AM14"/>
    <mergeCell ref="AN14:AQ14"/>
    <mergeCell ref="AR14:AU14"/>
    <mergeCell ref="AV14:AY14"/>
    <mergeCell ref="D15:G15"/>
    <mergeCell ref="H15:K15"/>
    <mergeCell ref="L15:O15"/>
    <mergeCell ref="P15:S15"/>
    <mergeCell ref="T15:W15"/>
    <mergeCell ref="X15:AA15"/>
    <mergeCell ref="AB15:AE15"/>
    <mergeCell ref="AF15:AI15"/>
    <mergeCell ref="AJ15:AM15"/>
    <mergeCell ref="AN15:AQ15"/>
    <mergeCell ref="AR15:AU15"/>
    <mergeCell ref="AV15:AY15"/>
    <mergeCell ref="D16:G16"/>
    <mergeCell ref="H16:K16"/>
    <mergeCell ref="L16:O16"/>
    <mergeCell ref="P16:S16"/>
    <mergeCell ref="T16:W16"/>
    <mergeCell ref="X16:AA16"/>
    <mergeCell ref="AB16:AE16"/>
    <mergeCell ref="AF16:AI16"/>
    <mergeCell ref="AJ16:AM16"/>
    <mergeCell ref="AN16:AQ16"/>
    <mergeCell ref="AR16:AU16"/>
    <mergeCell ref="AV16:AY16"/>
    <mergeCell ref="D17:G17"/>
    <mergeCell ref="H17:K17"/>
    <mergeCell ref="L17:O17"/>
    <mergeCell ref="P17:S17"/>
    <mergeCell ref="T17:W17"/>
    <mergeCell ref="X17:AA17"/>
    <mergeCell ref="AB17:AE17"/>
    <mergeCell ref="AF17:AI17"/>
    <mergeCell ref="AJ17:AM17"/>
    <mergeCell ref="AN17:AQ17"/>
    <mergeCell ref="AR17:AU17"/>
    <mergeCell ref="AV17:AY17"/>
    <mergeCell ref="D18:G18"/>
    <mergeCell ref="H18:K18"/>
    <mergeCell ref="L18:O18"/>
    <mergeCell ref="P18:S18"/>
    <mergeCell ref="T18:W18"/>
    <mergeCell ref="X18:AA18"/>
    <mergeCell ref="AB18:AE18"/>
    <mergeCell ref="AF18:AI18"/>
    <mergeCell ref="AJ18:AM18"/>
    <mergeCell ref="AN18:AQ18"/>
    <mergeCell ref="AR18:AU18"/>
    <mergeCell ref="AV18:AY18"/>
    <mergeCell ref="D19:G19"/>
    <mergeCell ref="H19:K19"/>
    <mergeCell ref="L19:O19"/>
    <mergeCell ref="P19:S19"/>
    <mergeCell ref="T19:W19"/>
    <mergeCell ref="X19:AA19"/>
    <mergeCell ref="AB19:AE19"/>
    <mergeCell ref="AF19:AI19"/>
    <mergeCell ref="AJ19:AM19"/>
    <mergeCell ref="AN19:AQ19"/>
    <mergeCell ref="AR19:AU19"/>
    <mergeCell ref="AV19:AY19"/>
    <mergeCell ref="D20:G20"/>
    <mergeCell ref="H20:K20"/>
    <mergeCell ref="L20:O20"/>
    <mergeCell ref="P20:S20"/>
    <mergeCell ref="T20:W20"/>
    <mergeCell ref="X20:AA20"/>
    <mergeCell ref="AB20:AE20"/>
    <mergeCell ref="AF20:AI20"/>
    <mergeCell ref="AJ20:AM20"/>
    <mergeCell ref="AN20:AQ20"/>
    <mergeCell ref="AR20:AU20"/>
    <mergeCell ref="AV20:AY20"/>
    <mergeCell ref="D21:G21"/>
    <mergeCell ref="H21:K21"/>
    <mergeCell ref="L21:O21"/>
    <mergeCell ref="P21:S21"/>
    <mergeCell ref="T21:W21"/>
    <mergeCell ref="X21:AA21"/>
    <mergeCell ref="AB21:AE21"/>
    <mergeCell ref="AF21:AI21"/>
    <mergeCell ref="AJ21:AM21"/>
    <mergeCell ref="AN21:AQ21"/>
    <mergeCell ref="AR21:AU21"/>
    <mergeCell ref="AV21:AY21"/>
    <mergeCell ref="D22:G22"/>
    <mergeCell ref="H22:K22"/>
    <mergeCell ref="L22:O22"/>
    <mergeCell ref="P22:S22"/>
    <mergeCell ref="T22:W22"/>
    <mergeCell ref="X22:AA22"/>
    <mergeCell ref="AB22:AE22"/>
    <mergeCell ref="AF22:AI22"/>
    <mergeCell ref="AJ22:AM22"/>
    <mergeCell ref="AN22:AQ22"/>
    <mergeCell ref="AR22:AU22"/>
    <mergeCell ref="AV22:AY22"/>
    <mergeCell ref="D23:G23"/>
    <mergeCell ref="H23:K23"/>
    <mergeCell ref="L23:O23"/>
    <mergeCell ref="P23:S23"/>
    <mergeCell ref="T23:W23"/>
    <mergeCell ref="X23:AA23"/>
    <mergeCell ref="AB23:AE23"/>
    <mergeCell ref="AF23:AI23"/>
    <mergeCell ref="AJ23:AM23"/>
    <mergeCell ref="AN23:AQ23"/>
    <mergeCell ref="AR23:AU23"/>
    <mergeCell ref="AV23:AY23"/>
    <mergeCell ref="D24:G24"/>
    <mergeCell ref="H24:K24"/>
    <mergeCell ref="L24:O24"/>
    <mergeCell ref="P24:S24"/>
    <mergeCell ref="T24:W24"/>
    <mergeCell ref="X24:AA24"/>
    <mergeCell ref="AB24:AE24"/>
    <mergeCell ref="AF24:AI24"/>
    <mergeCell ref="AJ24:AM24"/>
    <mergeCell ref="AN24:AQ24"/>
    <mergeCell ref="AR24:AU24"/>
    <mergeCell ref="AV24:AY24"/>
    <mergeCell ref="D25:G25"/>
    <mergeCell ref="H25:K25"/>
    <mergeCell ref="L25:O25"/>
    <mergeCell ref="P25:S25"/>
    <mergeCell ref="T25:W25"/>
    <mergeCell ref="X25:AA25"/>
    <mergeCell ref="AB25:AE25"/>
    <mergeCell ref="AF25:AI25"/>
    <mergeCell ref="AJ25:AM25"/>
    <mergeCell ref="AN25:AQ25"/>
    <mergeCell ref="AR25:AU25"/>
    <mergeCell ref="AV25:AY25"/>
    <mergeCell ref="A26:C26"/>
    <mergeCell ref="D26:G26"/>
    <mergeCell ref="H26:K26"/>
    <mergeCell ref="L26:O26"/>
    <mergeCell ref="P26:S26"/>
    <mergeCell ref="T26:W26"/>
    <mergeCell ref="X26:AA26"/>
    <mergeCell ref="AB26:AE26"/>
    <mergeCell ref="AF26:AI26"/>
    <mergeCell ref="AJ26:AM26"/>
    <mergeCell ref="AN26:AQ26"/>
    <mergeCell ref="AR26:AU26"/>
    <mergeCell ref="AV26:AY26"/>
    <mergeCell ref="A27:T27"/>
    <mergeCell ref="AZ28:BA28"/>
    <mergeCell ref="AZ29:BA29"/>
    <mergeCell ref="AZ30:BA30"/>
    <mergeCell ref="A33:AA33"/>
    <mergeCell ref="A34:C34"/>
    <mergeCell ref="D34:G34"/>
    <mergeCell ref="H34:K34"/>
    <mergeCell ref="L34:O34"/>
    <mergeCell ref="P34:S34"/>
    <mergeCell ref="T34:W34"/>
    <mergeCell ref="X34:AA34"/>
    <mergeCell ref="A35:C35"/>
    <mergeCell ref="D35:G35"/>
    <mergeCell ref="H35:K35"/>
    <mergeCell ref="L35:O35"/>
    <mergeCell ref="P35:S35"/>
    <mergeCell ref="T35:W35"/>
    <mergeCell ref="X35:AA35"/>
    <mergeCell ref="A36:C36"/>
    <mergeCell ref="D36:G36"/>
    <mergeCell ref="H36:K36"/>
    <mergeCell ref="L36:O36"/>
    <mergeCell ref="P36:S36"/>
    <mergeCell ref="T36:W36"/>
    <mergeCell ref="X36:AA36"/>
    <mergeCell ref="A40:G40"/>
    <mergeCell ref="A41:C41"/>
    <mergeCell ref="D41:G41"/>
    <mergeCell ref="H41:K41"/>
    <mergeCell ref="L41:O41"/>
    <mergeCell ref="P41:S41"/>
    <mergeCell ref="T41:W41"/>
    <mergeCell ref="X41:AA41"/>
    <mergeCell ref="AB41:AE41"/>
    <mergeCell ref="AF41:AI41"/>
    <mergeCell ref="AJ41:AM41"/>
    <mergeCell ref="AN41:AQ41"/>
    <mergeCell ref="AR41:AU41"/>
    <mergeCell ref="AV41:AY41"/>
    <mergeCell ref="A42:C42"/>
    <mergeCell ref="D42:G42"/>
    <mergeCell ref="H42:K42"/>
    <mergeCell ref="L42:O42"/>
    <mergeCell ref="P42:S42"/>
    <mergeCell ref="T42:W42"/>
    <mergeCell ref="X42:AA42"/>
    <mergeCell ref="AB42:AE42"/>
    <mergeCell ref="AF42:AI42"/>
    <mergeCell ref="AJ42:AM42"/>
    <mergeCell ref="AN42:AQ42"/>
    <mergeCell ref="AR42:AU42"/>
    <mergeCell ref="AV42:AY42"/>
    <mergeCell ref="A43:C43"/>
    <mergeCell ref="D43:G43"/>
    <mergeCell ref="H43:K43"/>
    <mergeCell ref="L43:O43"/>
    <mergeCell ref="P43:S43"/>
    <mergeCell ref="T43:W43"/>
    <mergeCell ref="X43:AA43"/>
    <mergeCell ref="AB43:AE43"/>
    <mergeCell ref="AF43:AI43"/>
    <mergeCell ref="AJ43:AM43"/>
    <mergeCell ref="AN43:AQ43"/>
    <mergeCell ref="AR43:AU43"/>
    <mergeCell ref="AV43:AY43"/>
    <mergeCell ref="A44:C44"/>
    <mergeCell ref="D44:G44"/>
    <mergeCell ref="H44:K44"/>
    <mergeCell ref="L44:O44"/>
    <mergeCell ref="P44:S44"/>
    <mergeCell ref="T44:W44"/>
    <mergeCell ref="X44:AA44"/>
    <mergeCell ref="AB44:AE44"/>
    <mergeCell ref="AF44:AI44"/>
    <mergeCell ref="AJ44:AM44"/>
    <mergeCell ref="AN44:AQ44"/>
    <mergeCell ref="AR44:AU44"/>
    <mergeCell ref="AV44:AY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30"/>
    <col collapsed="false" customWidth="true" hidden="false" outlineLevel="0" max="4" min="4" style="1" width="22"/>
    <col collapsed="false" customWidth="true" hidden="false" outlineLevel="0" max="7" min="5" style="1" width="16"/>
  </cols>
  <sheetData>
    <row r="4" customFormat="false" ht="23.25" hidden="false" customHeight="true" outlineLevel="0" collapsed="false">
      <c r="A4" s="45" t="s">
        <v>131</v>
      </c>
    </row>
    <row r="5" customFormat="false" ht="15" hidden="false" customHeight="true" outlineLevel="0" collapsed="false">
      <c r="B5" s="16" t="s">
        <v>102</v>
      </c>
      <c r="C5" s="16" t="s">
        <v>103</v>
      </c>
      <c r="D5" s="16" t="s">
        <v>25</v>
      </c>
    </row>
    <row r="6" customFormat="false" ht="15" hidden="false" customHeight="true" outlineLevel="0" collapsed="false">
      <c r="B6" s="22" t="s">
        <v>104</v>
      </c>
      <c r="C6" s="46" t="s">
        <v>105</v>
      </c>
      <c r="D6" s="47"/>
    </row>
    <row r="7" customFormat="false" ht="15" hidden="false" customHeight="true" outlineLevel="0" collapsed="false">
      <c r="B7" s="22" t="s">
        <v>106</v>
      </c>
      <c r="C7" s="48" t="n">
        <f aca="false">'Module 2 Pre-Disaster Integrate'!$BB$28</f>
        <v>982464</v>
      </c>
      <c r="D7" s="47"/>
    </row>
    <row r="8" customFormat="false" ht="23.25" hidden="false" customHeight="true" outlineLevel="0" collapsed="false">
      <c r="B8" s="22" t="s">
        <v>107</v>
      </c>
      <c r="C8" s="49" t="n">
        <f aca="false">C7*0.15</f>
        <v>147369.6</v>
      </c>
      <c r="D8" s="47"/>
    </row>
    <row r="9" customFormat="false" ht="15" hidden="false" customHeight="true" outlineLevel="0" collapsed="false">
      <c r="B9" s="38" t="s">
        <v>108</v>
      </c>
      <c r="C9" s="50" t="n">
        <f aca="false">C7+C8</f>
        <v>1129833.6</v>
      </c>
      <c r="D9" s="47"/>
    </row>
    <row r="10" customFormat="false" ht="15" hidden="false" customHeight="true" outlineLevel="0" collapsed="false">
      <c r="B10" s="47"/>
      <c r="C10" s="47"/>
      <c r="D10" s="47"/>
    </row>
    <row r="11" customFormat="false" ht="15" hidden="false" customHeight="true" outlineLevel="0" collapsed="false">
      <c r="B11" s="22" t="s">
        <v>132</v>
      </c>
      <c r="C11" s="12" t="n">
        <v>807024</v>
      </c>
      <c r="D11" s="51"/>
    </row>
    <row r="12" customFormat="false" ht="23.25" hidden="false" customHeight="true" outlineLevel="0" collapsed="false">
      <c r="B12" s="38" t="s">
        <v>109</v>
      </c>
      <c r="C12" s="13" t="n">
        <f aca="false">C11</f>
        <v>807024</v>
      </c>
      <c r="D12" s="51"/>
    </row>
    <row r="13" customFormat="false" ht="33.75" hidden="false" customHeight="true" outlineLevel="0" collapsed="false">
      <c r="B13" s="38" t="s">
        <v>110</v>
      </c>
      <c r="C13" s="13" t="n">
        <f aca="false">C12*0.24</f>
        <v>193685.76</v>
      </c>
      <c r="D13" s="51"/>
    </row>
    <row r="16" customFormat="false" ht="15" hidden="false" customHeight="true" outlineLevel="0" collapsed="false">
      <c r="B16" s="22" t="s">
        <v>111</v>
      </c>
      <c r="C16" s="48" t="n">
        <f aca="false">'Cloud Infra Estimate'!$F$15</f>
        <v>353500</v>
      </c>
      <c r="D16" s="47"/>
    </row>
    <row r="17" customFormat="false" ht="30" hidden="false" customHeight="true" outlineLevel="0" collapsed="false">
      <c r="B17" s="22" t="s">
        <v>112</v>
      </c>
      <c r="C17" s="49" t="n">
        <f aca="false">C16</f>
        <v>353500</v>
      </c>
      <c r="D17" s="47"/>
    </row>
    <row r="21" customFormat="false" ht="15" hidden="false" customHeight="true" outlineLevel="0" collapsed="false">
      <c r="B21" s="52" t="s">
        <v>113</v>
      </c>
    </row>
    <row r="23" customFormat="false" ht="15" hidden="false" customHeight="true" outlineLevel="0" collapsed="false">
      <c r="B23" s="53" t="s">
        <v>114</v>
      </c>
      <c r="C23" s="53" t="s">
        <v>115</v>
      </c>
      <c r="D23" s="53" t="s">
        <v>116</v>
      </c>
      <c r="E23" s="53" t="s">
        <v>117</v>
      </c>
      <c r="F23" s="53" t="s">
        <v>118</v>
      </c>
      <c r="G23" s="53" t="s">
        <v>96</v>
      </c>
    </row>
    <row r="24" customFormat="false" ht="23.25" hidden="false" customHeight="true" outlineLevel="0" collapsed="false">
      <c r="B24" s="54" t="s">
        <v>119</v>
      </c>
      <c r="C24" s="55" t="s">
        <v>120</v>
      </c>
      <c r="D24" s="56" t="n">
        <f aca="false">C12</f>
        <v>807024</v>
      </c>
      <c r="E24" s="56"/>
      <c r="F24" s="56"/>
      <c r="G24" s="56" t="n">
        <f aca="false">D24</f>
        <v>807024</v>
      </c>
    </row>
    <row r="25" customFormat="false" ht="15" hidden="false" customHeight="true" outlineLevel="0" collapsed="false">
      <c r="B25" s="54"/>
      <c r="C25" s="55" t="s">
        <v>110</v>
      </c>
      <c r="D25" s="56" t="n">
        <f aca="false">C13*0.5</f>
        <v>96842.88</v>
      </c>
      <c r="E25" s="56" t="n">
        <f aca="false">C13</f>
        <v>193685.76</v>
      </c>
      <c r="F25" s="56" t="n">
        <f aca="false">C13</f>
        <v>193685.76</v>
      </c>
      <c r="G25" s="56" t="n">
        <f aca="false">SUM(D25:F25)</f>
        <v>484214.4</v>
      </c>
    </row>
    <row r="26" customFormat="false" ht="15" hidden="false" customHeight="true" outlineLevel="0" collapsed="false">
      <c r="B26" s="54"/>
      <c r="C26" s="54" t="s">
        <v>96</v>
      </c>
      <c r="D26" s="57" t="n">
        <f aca="false">D24+D25</f>
        <v>903866.88</v>
      </c>
      <c r="E26" s="57" t="n">
        <f aca="false">E25</f>
        <v>193685.76</v>
      </c>
      <c r="F26" s="57" t="n">
        <f aca="false">F25</f>
        <v>193685.76</v>
      </c>
      <c r="G26" s="57" t="n">
        <f aca="false">D24*0.275</f>
        <v>221931.6</v>
      </c>
    </row>
    <row r="27" customFormat="false" ht="15" hidden="false" customHeight="true" outlineLevel="0" collapsed="false">
      <c r="B27" s="54" t="s">
        <v>121</v>
      </c>
      <c r="C27" s="55" t="s">
        <v>122</v>
      </c>
      <c r="D27" s="56" t="n">
        <f aca="false">'Cloud Infra Estimate'!$F$15</f>
        <v>353500</v>
      </c>
      <c r="E27" s="56" t="n">
        <f aca="false">'Cloud Infra Estimate'!$F$15</f>
        <v>353500</v>
      </c>
      <c r="F27" s="56" t="n">
        <f aca="false">'Cloud Infra Estimate'!$F$15</f>
        <v>353500</v>
      </c>
      <c r="G27" s="56" t="n">
        <f aca="false">SUM(D27:F27)</f>
        <v>1060500</v>
      </c>
    </row>
    <row r="28" customFormat="false" ht="15" hidden="false" customHeight="true" outlineLevel="0" collapsed="false">
      <c r="B28" s="54"/>
      <c r="C28" s="54" t="s">
        <v>96</v>
      </c>
      <c r="D28" s="57" t="n">
        <f aca="false">D27</f>
        <v>353500</v>
      </c>
      <c r="E28" s="57" t="n">
        <f aca="false">E27</f>
        <v>353500</v>
      </c>
      <c r="F28" s="57" t="n">
        <f aca="false">F27</f>
        <v>353500</v>
      </c>
      <c r="G28" s="57" t="n">
        <f aca="false">SUM(D28:F28)</f>
        <v>1060500</v>
      </c>
    </row>
    <row r="29" customFormat="false" ht="15" hidden="false" customHeight="true" outlineLevel="0" collapsed="false">
      <c r="B29" s="58" t="s">
        <v>123</v>
      </c>
      <c r="C29" s="58"/>
      <c r="D29" s="59" t="n">
        <f aca="false">D26+D28</f>
        <v>1257366.88</v>
      </c>
      <c r="E29" s="59" t="n">
        <f aca="false">E26+E28</f>
        <v>547185.76</v>
      </c>
      <c r="F29" s="59" t="n">
        <f aca="false">F26+F28</f>
        <v>547185.76</v>
      </c>
      <c r="G29" s="59" t="n">
        <f aca="false">G26+G28</f>
        <v>1282431.6</v>
      </c>
    </row>
  </sheetData>
  <mergeCells count="3">
    <mergeCell ref="B24:B26"/>
    <mergeCell ref="B27:B28"/>
    <mergeCell ref="B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3"/>
    <col collapsed="false" customWidth="true" hidden="false" outlineLevel="0" max="3" min="3" style="1" width="11"/>
    <col collapsed="false" customWidth="true" hidden="false" outlineLevel="0" max="51" min="4" style="1" width="3.3"/>
    <col collapsed="false" customWidth="true" hidden="false" outlineLevel="0" max="52" min="52" style="1" width="11"/>
    <col collapsed="false" customWidth="true" hidden="false" outlineLevel="0" max="53" min="53" style="1" width="9"/>
    <col collapsed="false" customWidth="true" hidden="false" outlineLevel="0" max="54" min="54" style="1" width="14"/>
  </cols>
  <sheetData>
    <row r="1" customFormat="false" ht="15" hidden="false" customHeight="true" outlineLevel="0" collapsed="false">
      <c r="A1" s="16" t="s">
        <v>44</v>
      </c>
      <c r="B1" s="16"/>
      <c r="C1" s="16"/>
      <c r="D1" s="16" t="s">
        <v>45</v>
      </c>
      <c r="E1" s="16"/>
      <c r="F1" s="16"/>
      <c r="G1" s="16"/>
      <c r="H1" s="16" t="s">
        <v>46</v>
      </c>
      <c r="I1" s="16"/>
      <c r="J1" s="16"/>
      <c r="K1" s="16"/>
      <c r="L1" s="16" t="s">
        <v>47</v>
      </c>
      <c r="M1" s="16"/>
      <c r="N1" s="16"/>
      <c r="O1" s="16"/>
      <c r="P1" s="16" t="s">
        <v>48</v>
      </c>
      <c r="Q1" s="16"/>
      <c r="R1" s="16"/>
      <c r="S1" s="16"/>
      <c r="T1" s="16" t="s">
        <v>49</v>
      </c>
      <c r="U1" s="16"/>
      <c r="V1" s="16"/>
      <c r="W1" s="16"/>
      <c r="X1" s="16" t="s">
        <v>50</v>
      </c>
      <c r="Y1" s="16"/>
      <c r="Z1" s="16"/>
      <c r="AA1" s="16"/>
      <c r="AB1" s="16" t="s">
        <v>51</v>
      </c>
      <c r="AC1" s="16"/>
      <c r="AD1" s="16"/>
      <c r="AE1" s="16"/>
      <c r="AF1" s="16" t="s">
        <v>52</v>
      </c>
      <c r="AG1" s="16"/>
      <c r="AH1" s="16"/>
      <c r="AI1" s="16"/>
      <c r="AJ1" s="16" t="s">
        <v>53</v>
      </c>
      <c r="AK1" s="16"/>
      <c r="AL1" s="16"/>
      <c r="AM1" s="16"/>
      <c r="AN1" s="16" t="s">
        <v>54</v>
      </c>
      <c r="AO1" s="16"/>
      <c r="AP1" s="16"/>
      <c r="AQ1" s="16"/>
      <c r="AR1" s="16" t="s">
        <v>55</v>
      </c>
      <c r="AS1" s="16"/>
      <c r="AT1" s="16"/>
      <c r="AU1" s="16"/>
      <c r="AV1" s="16" t="s">
        <v>56</v>
      </c>
      <c r="AW1" s="16"/>
      <c r="AX1" s="16"/>
      <c r="AY1" s="16"/>
    </row>
    <row r="2" customFormat="false" ht="15.75" hidden="false" customHeight="true" outlineLevel="0" collapsed="false">
      <c r="A2" s="2" t="s">
        <v>124</v>
      </c>
      <c r="B2" s="2"/>
      <c r="C2" s="2"/>
      <c r="D2" s="17"/>
      <c r="E2" s="17"/>
      <c r="F2" s="17"/>
      <c r="G2" s="17"/>
    </row>
    <row r="3" customFormat="false" ht="15.75" hidden="false" customHeight="true" outlineLevel="0" collapsed="false">
      <c r="A3" s="2" t="s">
        <v>125</v>
      </c>
      <c r="B3" s="2"/>
      <c r="C3" s="2"/>
      <c r="H3" s="18"/>
      <c r="I3" s="18"/>
      <c r="J3" s="18"/>
      <c r="K3" s="18"/>
    </row>
    <row r="4" customFormat="false" ht="15.75" hidden="false" customHeight="true" outlineLevel="0" collapsed="false">
      <c r="A4" s="2" t="s">
        <v>126</v>
      </c>
      <c r="B4" s="2"/>
      <c r="C4" s="2"/>
      <c r="L4" s="60"/>
      <c r="M4" s="60"/>
      <c r="N4" s="60"/>
      <c r="O4" s="60"/>
    </row>
    <row r="5" customFormat="false" ht="15.75" hidden="false" customHeight="true" outlineLevel="0" collapsed="false">
      <c r="A5" s="2" t="s">
        <v>127</v>
      </c>
      <c r="B5" s="2"/>
      <c r="C5" s="2"/>
      <c r="P5" s="19"/>
      <c r="Q5" s="19"/>
      <c r="R5" s="19"/>
      <c r="S5" s="19"/>
      <c r="T5" s="19"/>
      <c r="U5" s="19"/>
      <c r="V5" s="19"/>
      <c r="W5" s="19"/>
      <c r="X5" s="19"/>
      <c r="Y5" s="19"/>
      <c r="Z5" s="19"/>
      <c r="AA5" s="19"/>
      <c r="AB5" s="19"/>
      <c r="AC5" s="19"/>
      <c r="AD5" s="19"/>
      <c r="AE5" s="19"/>
      <c r="AF5" s="19"/>
      <c r="AG5" s="19"/>
      <c r="AH5" s="19"/>
      <c r="AI5" s="19"/>
      <c r="AJ5" s="19"/>
      <c r="AK5" s="19"/>
      <c r="AL5" s="19"/>
      <c r="AM5" s="19"/>
    </row>
    <row r="6" customFormat="false" ht="15.75" hidden="false" customHeight="true" outlineLevel="0" collapsed="false">
      <c r="A6" s="2" t="s">
        <v>128</v>
      </c>
      <c r="B6" s="2"/>
      <c r="C6" s="2"/>
      <c r="AJ6" s="20"/>
      <c r="AK6" s="20"/>
      <c r="AL6" s="20"/>
      <c r="AM6" s="20"/>
      <c r="AN6" s="20"/>
      <c r="AO6" s="20"/>
      <c r="AP6" s="20"/>
      <c r="AQ6" s="20"/>
      <c r="AR6" s="20"/>
      <c r="AS6" s="20"/>
      <c r="AT6" s="20"/>
      <c r="AU6" s="20"/>
    </row>
    <row r="7" customFormat="false" ht="15.75" hidden="false" customHeight="true" outlineLevel="0" collapsed="false">
      <c r="A7" s="2" t="s">
        <v>129</v>
      </c>
      <c r="B7" s="2"/>
      <c r="C7" s="2"/>
      <c r="AN7" s="21"/>
      <c r="AO7" s="21"/>
      <c r="AP7" s="21"/>
      <c r="AQ7" s="21"/>
      <c r="AR7" s="21"/>
      <c r="AS7" s="21"/>
      <c r="AT7" s="21"/>
      <c r="AU7" s="21"/>
    </row>
    <row r="8" customFormat="false" ht="15.75" hidden="false" customHeight="true" outlineLevel="0" collapsed="false">
      <c r="A8" s="2" t="s">
        <v>130</v>
      </c>
      <c r="B8" s="2"/>
      <c r="C8" s="2"/>
      <c r="AR8" s="61"/>
      <c r="AS8" s="61"/>
      <c r="AT8" s="61"/>
      <c r="AU8" s="61"/>
      <c r="AV8" s="61"/>
      <c r="AW8" s="61"/>
      <c r="AX8" s="61"/>
      <c r="AY8" s="61"/>
    </row>
    <row r="11" customFormat="false" ht="25.5" hidden="false" customHeight="true" outlineLevel="0" collapsed="false">
      <c r="A11" s="16" t="s">
        <v>63</v>
      </c>
      <c r="B11" s="16" t="s">
        <v>4</v>
      </c>
      <c r="C11" s="16" t="s">
        <v>64</v>
      </c>
      <c r="D11" s="16" t="s">
        <v>45</v>
      </c>
      <c r="E11" s="16"/>
      <c r="F11" s="16"/>
      <c r="G11" s="16"/>
      <c r="H11" s="16" t="s">
        <v>46</v>
      </c>
      <c r="I11" s="16"/>
      <c r="J11" s="16"/>
      <c r="K11" s="16"/>
      <c r="L11" s="16" t="s">
        <v>47</v>
      </c>
      <c r="M11" s="16"/>
      <c r="N11" s="16"/>
      <c r="O11" s="16"/>
      <c r="P11" s="16" t="s">
        <v>48</v>
      </c>
      <c r="Q11" s="16"/>
      <c r="R11" s="16"/>
      <c r="S11" s="16"/>
      <c r="T11" s="16" t="s">
        <v>49</v>
      </c>
      <c r="U11" s="16"/>
      <c r="V11" s="16"/>
      <c r="W11" s="16"/>
      <c r="X11" s="16" t="s">
        <v>50</v>
      </c>
      <c r="Y11" s="16"/>
      <c r="Z11" s="16"/>
      <c r="AA11" s="16"/>
      <c r="AB11" s="16" t="s">
        <v>51</v>
      </c>
      <c r="AC11" s="16"/>
      <c r="AD11" s="16"/>
      <c r="AE11" s="16"/>
      <c r="AF11" s="16" t="s">
        <v>52</v>
      </c>
      <c r="AG11" s="16"/>
      <c r="AH11" s="16"/>
      <c r="AI11" s="16"/>
      <c r="AJ11" s="16" t="s">
        <v>53</v>
      </c>
      <c r="AK11" s="16"/>
      <c r="AL11" s="16"/>
      <c r="AM11" s="16"/>
      <c r="AN11" s="16" t="s">
        <v>54</v>
      </c>
      <c r="AO11" s="16"/>
      <c r="AP11" s="16"/>
      <c r="AQ11" s="16"/>
      <c r="AR11" s="16" t="s">
        <v>55</v>
      </c>
      <c r="AS11" s="16"/>
      <c r="AT11" s="16"/>
      <c r="AU11" s="16"/>
      <c r="AV11" s="16" t="s">
        <v>56</v>
      </c>
      <c r="AW11" s="16"/>
      <c r="AX11" s="16"/>
      <c r="AY11" s="16"/>
      <c r="AZ11" s="16" t="s">
        <v>65</v>
      </c>
      <c r="BA11" s="16" t="s">
        <v>66</v>
      </c>
      <c r="BB11" s="16" t="s">
        <v>67</v>
      </c>
    </row>
    <row r="12" customFormat="false" ht="15" hidden="false" customHeight="true" outlineLevel="0" collapsed="false">
      <c r="A12" s="22" t="s">
        <v>22</v>
      </c>
      <c r="B12" s="23" t="s">
        <v>5</v>
      </c>
      <c r="C12" s="22" t="s">
        <v>68</v>
      </c>
      <c r="D12" s="24" t="n">
        <v>0.5</v>
      </c>
      <c r="E12" s="24"/>
      <c r="F12" s="24"/>
      <c r="G12" s="24"/>
      <c r="H12" s="24" t="n">
        <v>0.5</v>
      </c>
      <c r="I12" s="24"/>
      <c r="J12" s="24"/>
      <c r="K12" s="24"/>
      <c r="L12" s="24" t="n">
        <v>0.5</v>
      </c>
      <c r="M12" s="24"/>
      <c r="N12" s="24"/>
      <c r="O12" s="24"/>
      <c r="P12" s="24" t="n">
        <v>0.2</v>
      </c>
      <c r="Q12" s="24"/>
      <c r="R12" s="24"/>
      <c r="S12" s="24"/>
      <c r="T12" s="24" t="n">
        <v>0.2</v>
      </c>
      <c r="U12" s="24"/>
      <c r="V12" s="24"/>
      <c r="W12" s="24"/>
      <c r="X12" s="24" t="n">
        <v>0.2</v>
      </c>
      <c r="Y12" s="24"/>
      <c r="Z12" s="24"/>
      <c r="AA12" s="24"/>
      <c r="AB12" s="24" t="n">
        <v>0.2</v>
      </c>
      <c r="AC12" s="24"/>
      <c r="AD12" s="24"/>
      <c r="AE12" s="24"/>
      <c r="AF12" s="24" t="n">
        <v>0.2</v>
      </c>
      <c r="AG12" s="24"/>
      <c r="AH12" s="24"/>
      <c r="AI12" s="24"/>
      <c r="AJ12" s="24" t="n">
        <v>0.2</v>
      </c>
      <c r="AK12" s="24"/>
      <c r="AL12" s="24"/>
      <c r="AM12" s="24"/>
      <c r="AN12" s="24" t="n">
        <v>0.2</v>
      </c>
      <c r="AO12" s="24"/>
      <c r="AP12" s="24"/>
      <c r="AQ12" s="24"/>
      <c r="AR12" s="24" t="n">
        <v>0.2</v>
      </c>
      <c r="AS12" s="24"/>
      <c r="AT12" s="24"/>
      <c r="AU12" s="24"/>
      <c r="AV12" s="24" t="n">
        <v>0.2</v>
      </c>
      <c r="AW12" s="24"/>
      <c r="AX12" s="24"/>
      <c r="AY12" s="24"/>
      <c r="AZ12" s="25" t="n">
        <f aca="false">SUM(D12:AY12)</f>
        <v>3.3</v>
      </c>
      <c r="BA12" s="26" t="n">
        <v>40</v>
      </c>
      <c r="BB12" s="27" t="n">
        <f aca="false">AZ12*BA12*$BB$30</f>
        <v>22176</v>
      </c>
    </row>
    <row r="13" customFormat="false" ht="15" hidden="false" customHeight="true" outlineLevel="0" collapsed="false">
      <c r="A13" s="22" t="s">
        <v>69</v>
      </c>
      <c r="B13" s="23" t="s">
        <v>5</v>
      </c>
      <c r="C13" s="22" t="s">
        <v>68</v>
      </c>
      <c r="D13" s="24" t="n">
        <v>1</v>
      </c>
      <c r="E13" s="24"/>
      <c r="F13" s="24"/>
      <c r="G13" s="24"/>
      <c r="H13" s="24" t="n">
        <v>1</v>
      </c>
      <c r="I13" s="24"/>
      <c r="J13" s="24"/>
      <c r="K13" s="24"/>
      <c r="L13" s="24" t="n">
        <v>1</v>
      </c>
      <c r="M13" s="24"/>
      <c r="N13" s="24"/>
      <c r="O13" s="24"/>
      <c r="P13" s="24" t="n">
        <v>1</v>
      </c>
      <c r="Q13" s="24"/>
      <c r="R13" s="24"/>
      <c r="S13" s="24"/>
      <c r="T13" s="24" t="n">
        <v>1</v>
      </c>
      <c r="U13" s="24"/>
      <c r="V13" s="24"/>
      <c r="W13" s="24"/>
      <c r="X13" s="24" t="n">
        <v>1</v>
      </c>
      <c r="Y13" s="24"/>
      <c r="Z13" s="24"/>
      <c r="AA13" s="24"/>
      <c r="AB13" s="24" t="n">
        <v>1</v>
      </c>
      <c r="AC13" s="24"/>
      <c r="AD13" s="24"/>
      <c r="AE13" s="24"/>
      <c r="AF13" s="24" t="n">
        <v>1</v>
      </c>
      <c r="AG13" s="24"/>
      <c r="AH13" s="24"/>
      <c r="AI13" s="24"/>
      <c r="AJ13" s="24" t="n">
        <v>1</v>
      </c>
      <c r="AK13" s="24"/>
      <c r="AL13" s="24"/>
      <c r="AM13" s="24"/>
      <c r="AN13" s="24" t="n">
        <v>1</v>
      </c>
      <c r="AO13" s="24"/>
      <c r="AP13" s="24"/>
      <c r="AQ13" s="24"/>
      <c r="AR13" s="24" t="n">
        <v>1</v>
      </c>
      <c r="AS13" s="24"/>
      <c r="AT13" s="24"/>
      <c r="AU13" s="24"/>
      <c r="AV13" s="24" t="n">
        <v>1</v>
      </c>
      <c r="AW13" s="24"/>
      <c r="AX13" s="24"/>
      <c r="AY13" s="24"/>
      <c r="AZ13" s="25" t="n">
        <f aca="false">SUM(D13:AY13)</f>
        <v>12</v>
      </c>
      <c r="BA13" s="26" t="n">
        <v>40</v>
      </c>
      <c r="BB13" s="27" t="n">
        <f aca="false">AZ13*BA13*$BB$30</f>
        <v>80640</v>
      </c>
    </row>
    <row r="14" customFormat="false" ht="15" hidden="false" customHeight="true" outlineLevel="0" collapsed="false">
      <c r="A14" s="22" t="s">
        <v>70</v>
      </c>
      <c r="B14" s="23" t="s">
        <v>5</v>
      </c>
      <c r="C14" s="22" t="s">
        <v>68</v>
      </c>
      <c r="D14" s="24" t="n">
        <v>2</v>
      </c>
      <c r="E14" s="24"/>
      <c r="F14" s="24"/>
      <c r="G14" s="24"/>
      <c r="H14" s="24" t="n">
        <v>2</v>
      </c>
      <c r="I14" s="24"/>
      <c r="J14" s="24"/>
      <c r="K14" s="24"/>
      <c r="L14" s="24" t="n">
        <v>2</v>
      </c>
      <c r="M14" s="24"/>
      <c r="N14" s="24"/>
      <c r="O14" s="24"/>
      <c r="P14" s="24" t="n">
        <v>2</v>
      </c>
      <c r="Q14" s="24"/>
      <c r="R14" s="24"/>
      <c r="S14" s="24"/>
      <c r="T14" s="24" t="n">
        <v>2</v>
      </c>
      <c r="U14" s="24"/>
      <c r="V14" s="24"/>
      <c r="W14" s="24"/>
      <c r="X14" s="24" t="n">
        <v>2</v>
      </c>
      <c r="Y14" s="24"/>
      <c r="Z14" s="24"/>
      <c r="AA14" s="24"/>
      <c r="AB14" s="24" t="n">
        <v>2</v>
      </c>
      <c r="AC14" s="24"/>
      <c r="AD14" s="24"/>
      <c r="AE14" s="24"/>
      <c r="AF14" s="24" t="n">
        <v>2</v>
      </c>
      <c r="AG14" s="24"/>
      <c r="AH14" s="24"/>
      <c r="AI14" s="24"/>
      <c r="AJ14" s="24" t="n">
        <v>2</v>
      </c>
      <c r="AK14" s="24"/>
      <c r="AL14" s="24"/>
      <c r="AM14" s="24"/>
      <c r="AN14" s="24" t="n">
        <v>2</v>
      </c>
      <c r="AO14" s="24"/>
      <c r="AP14" s="24"/>
      <c r="AQ14" s="24"/>
      <c r="AR14" s="24" t="n">
        <v>2</v>
      </c>
      <c r="AS14" s="24"/>
      <c r="AT14" s="24"/>
      <c r="AU14" s="24"/>
      <c r="AV14" s="24" t="n">
        <v>2</v>
      </c>
      <c r="AW14" s="24"/>
      <c r="AX14" s="24"/>
      <c r="AY14" s="24"/>
      <c r="AZ14" s="25" t="n">
        <f aca="false">SUM(D14:AY14)</f>
        <v>24</v>
      </c>
      <c r="BA14" s="26" t="n">
        <v>40</v>
      </c>
      <c r="BB14" s="27" t="n">
        <f aca="false">AZ14*BA14*$BB$30</f>
        <v>161280</v>
      </c>
    </row>
    <row r="15" customFormat="false" ht="15" hidden="false" customHeight="true" outlineLevel="0" collapsed="false">
      <c r="A15" s="22" t="s">
        <v>71</v>
      </c>
      <c r="B15" s="23" t="s">
        <v>5</v>
      </c>
      <c r="C15" s="22" t="s">
        <v>68</v>
      </c>
      <c r="D15" s="24" t="n">
        <v>2</v>
      </c>
      <c r="E15" s="24"/>
      <c r="F15" s="24"/>
      <c r="G15" s="24"/>
      <c r="H15" s="24" t="n">
        <v>2</v>
      </c>
      <c r="I15" s="24"/>
      <c r="J15" s="24"/>
      <c r="K15" s="24"/>
      <c r="L15" s="24" t="n">
        <v>2</v>
      </c>
      <c r="M15" s="24"/>
      <c r="N15" s="24"/>
      <c r="O15" s="24"/>
      <c r="P15" s="24" t="n">
        <v>2</v>
      </c>
      <c r="Q15" s="24"/>
      <c r="R15" s="24"/>
      <c r="S15" s="24"/>
      <c r="T15" s="24" t="n">
        <v>2</v>
      </c>
      <c r="U15" s="24"/>
      <c r="V15" s="24"/>
      <c r="W15" s="24"/>
      <c r="X15" s="24" t="n">
        <v>2</v>
      </c>
      <c r="Y15" s="24"/>
      <c r="Z15" s="24"/>
      <c r="AA15" s="24"/>
      <c r="AB15" s="24" t="n">
        <v>1.5</v>
      </c>
      <c r="AC15" s="24"/>
      <c r="AD15" s="24"/>
      <c r="AE15" s="24"/>
      <c r="AF15" s="24" t="n">
        <v>1.5</v>
      </c>
      <c r="AG15" s="24"/>
      <c r="AH15" s="24"/>
      <c r="AI15" s="24"/>
      <c r="AJ15" s="24" t="n">
        <v>1.5</v>
      </c>
      <c r="AK15" s="24"/>
      <c r="AL15" s="24"/>
      <c r="AM15" s="24"/>
      <c r="AN15" s="24" t="n">
        <v>1.5</v>
      </c>
      <c r="AO15" s="24"/>
      <c r="AP15" s="24"/>
      <c r="AQ15" s="24"/>
      <c r="AR15" s="24" t="n">
        <v>1.5</v>
      </c>
      <c r="AS15" s="24"/>
      <c r="AT15" s="24"/>
      <c r="AU15" s="24"/>
      <c r="AV15" s="24" t="n">
        <v>1</v>
      </c>
      <c r="AW15" s="24"/>
      <c r="AX15" s="24"/>
      <c r="AY15" s="24"/>
      <c r="AZ15" s="25" t="n">
        <f aca="false">SUM(D15:AY15)</f>
        <v>20.5</v>
      </c>
      <c r="BA15" s="26" t="n">
        <v>40</v>
      </c>
      <c r="BB15" s="27" t="n">
        <f aca="false">AZ15*BA15*$BB$30</f>
        <v>137760</v>
      </c>
    </row>
    <row r="16" customFormat="false" ht="15" hidden="false" customHeight="true" outlineLevel="0" collapsed="false">
      <c r="A16" s="22" t="s">
        <v>72</v>
      </c>
      <c r="B16" s="23" t="s">
        <v>5</v>
      </c>
      <c r="C16" s="22" t="s">
        <v>68</v>
      </c>
      <c r="D16" s="24"/>
      <c r="E16" s="24"/>
      <c r="F16" s="24"/>
      <c r="G16" s="24"/>
      <c r="H16" s="24"/>
      <c r="I16" s="24"/>
      <c r="J16" s="24"/>
      <c r="K16" s="24"/>
      <c r="L16" s="24"/>
      <c r="M16" s="24"/>
      <c r="N16" s="24"/>
      <c r="O16" s="24"/>
      <c r="P16" s="24" t="n">
        <v>1</v>
      </c>
      <c r="Q16" s="24"/>
      <c r="R16" s="24"/>
      <c r="S16" s="24"/>
      <c r="T16" s="24" t="n">
        <v>1</v>
      </c>
      <c r="U16" s="24"/>
      <c r="V16" s="24"/>
      <c r="W16" s="24"/>
      <c r="X16" s="24" t="n">
        <v>1</v>
      </c>
      <c r="Y16" s="24"/>
      <c r="Z16" s="24"/>
      <c r="AA16" s="24"/>
      <c r="AB16" s="24" t="n">
        <v>1</v>
      </c>
      <c r="AC16" s="24"/>
      <c r="AD16" s="24"/>
      <c r="AE16" s="24"/>
      <c r="AF16" s="24" t="n">
        <v>1</v>
      </c>
      <c r="AG16" s="24"/>
      <c r="AH16" s="24"/>
      <c r="AI16" s="24"/>
      <c r="AJ16" s="24" t="n">
        <v>1</v>
      </c>
      <c r="AK16" s="24"/>
      <c r="AL16" s="24"/>
      <c r="AM16" s="24"/>
      <c r="AN16" s="24" t="n">
        <v>1</v>
      </c>
      <c r="AO16" s="24"/>
      <c r="AP16" s="24"/>
      <c r="AQ16" s="24"/>
      <c r="AR16" s="24" t="n">
        <v>1</v>
      </c>
      <c r="AS16" s="24"/>
      <c r="AT16" s="24"/>
      <c r="AU16" s="24"/>
      <c r="AV16" s="24" t="n">
        <v>0.8</v>
      </c>
      <c r="AW16" s="24"/>
      <c r="AX16" s="24"/>
      <c r="AY16" s="24"/>
      <c r="AZ16" s="25" t="n">
        <f aca="false">SUM(D16:AY16)</f>
        <v>8.8</v>
      </c>
      <c r="BA16" s="26" t="n">
        <v>40</v>
      </c>
      <c r="BB16" s="27" t="n">
        <f aca="false">AZ16*BA16*$BB$30</f>
        <v>59136</v>
      </c>
    </row>
    <row r="17" customFormat="false" ht="15" hidden="false" customHeight="true" outlineLevel="0" collapsed="false">
      <c r="A17" s="22" t="s">
        <v>73</v>
      </c>
      <c r="B17" s="23" t="s">
        <v>5</v>
      </c>
      <c r="C17" s="22" t="s">
        <v>68</v>
      </c>
      <c r="D17" s="24"/>
      <c r="E17" s="24"/>
      <c r="F17" s="24"/>
      <c r="G17" s="24"/>
      <c r="H17" s="24"/>
      <c r="I17" s="24"/>
      <c r="J17" s="24"/>
      <c r="K17" s="24"/>
      <c r="L17" s="24"/>
      <c r="M17" s="24"/>
      <c r="N17" s="24"/>
      <c r="O17" s="24"/>
      <c r="P17" s="24" t="n">
        <v>1</v>
      </c>
      <c r="Q17" s="24"/>
      <c r="R17" s="24"/>
      <c r="S17" s="24"/>
      <c r="T17" s="24" t="n">
        <v>1</v>
      </c>
      <c r="U17" s="24"/>
      <c r="V17" s="24"/>
      <c r="W17" s="24"/>
      <c r="X17" s="24" t="n">
        <v>1</v>
      </c>
      <c r="Y17" s="24"/>
      <c r="Z17" s="24"/>
      <c r="AA17" s="24"/>
      <c r="AB17" s="24" t="n">
        <v>1</v>
      </c>
      <c r="AC17" s="24"/>
      <c r="AD17" s="24"/>
      <c r="AE17" s="24"/>
      <c r="AF17" s="24" t="n">
        <v>1</v>
      </c>
      <c r="AG17" s="24"/>
      <c r="AH17" s="24"/>
      <c r="AI17" s="24"/>
      <c r="AJ17" s="24" t="n">
        <v>1</v>
      </c>
      <c r="AK17" s="24"/>
      <c r="AL17" s="24"/>
      <c r="AM17" s="24"/>
      <c r="AN17" s="24" t="n">
        <v>1</v>
      </c>
      <c r="AO17" s="24"/>
      <c r="AP17" s="24"/>
      <c r="AQ17" s="24"/>
      <c r="AR17" s="24" t="n">
        <v>1</v>
      </c>
      <c r="AS17" s="24"/>
      <c r="AT17" s="24"/>
      <c r="AU17" s="24"/>
      <c r="AV17" s="24" t="n">
        <v>0.8</v>
      </c>
      <c r="AW17" s="24"/>
      <c r="AX17" s="24"/>
      <c r="AY17" s="24"/>
      <c r="AZ17" s="25" t="n">
        <f aca="false">SUM(D17:AY17)</f>
        <v>8.8</v>
      </c>
      <c r="BA17" s="26" t="n">
        <v>40</v>
      </c>
      <c r="BB17" s="27" t="n">
        <f aca="false">AZ17*BA17*$BB$30</f>
        <v>59136</v>
      </c>
    </row>
    <row r="18" customFormat="false" ht="15" hidden="false" customHeight="true" outlineLevel="0" collapsed="false">
      <c r="A18" s="22" t="s">
        <v>74</v>
      </c>
      <c r="B18" s="23" t="s">
        <v>5</v>
      </c>
      <c r="C18" s="22" t="s">
        <v>68</v>
      </c>
      <c r="D18" s="24" t="n">
        <v>2</v>
      </c>
      <c r="E18" s="24"/>
      <c r="F18" s="24"/>
      <c r="G18" s="24"/>
      <c r="H18" s="24" t="n">
        <v>2</v>
      </c>
      <c r="I18" s="24"/>
      <c r="J18" s="24"/>
      <c r="K18" s="24"/>
      <c r="L18" s="24" t="n">
        <v>2</v>
      </c>
      <c r="M18" s="24"/>
      <c r="N18" s="24"/>
      <c r="O18" s="24"/>
      <c r="P18" s="24" t="n">
        <v>2</v>
      </c>
      <c r="Q18" s="24"/>
      <c r="R18" s="24"/>
      <c r="S18" s="24"/>
      <c r="T18" s="24" t="n">
        <v>2</v>
      </c>
      <c r="U18" s="24"/>
      <c r="V18" s="24"/>
      <c r="W18" s="24"/>
      <c r="X18" s="24" t="n">
        <v>2</v>
      </c>
      <c r="Y18" s="24"/>
      <c r="Z18" s="24"/>
      <c r="AA18" s="24"/>
      <c r="AB18" s="24" t="n">
        <v>2</v>
      </c>
      <c r="AC18" s="24"/>
      <c r="AD18" s="24"/>
      <c r="AE18" s="24"/>
      <c r="AF18" s="24" t="n">
        <v>2</v>
      </c>
      <c r="AG18" s="24"/>
      <c r="AH18" s="24"/>
      <c r="AI18" s="24"/>
      <c r="AJ18" s="24" t="n">
        <v>2</v>
      </c>
      <c r="AK18" s="24"/>
      <c r="AL18" s="24"/>
      <c r="AM18" s="24"/>
      <c r="AN18" s="24" t="n">
        <v>2</v>
      </c>
      <c r="AO18" s="24"/>
      <c r="AP18" s="24"/>
      <c r="AQ18" s="24"/>
      <c r="AR18" s="24" t="n">
        <v>2</v>
      </c>
      <c r="AS18" s="24"/>
      <c r="AT18" s="24"/>
      <c r="AU18" s="24"/>
      <c r="AV18" s="24" t="n">
        <v>2</v>
      </c>
      <c r="AW18" s="24"/>
      <c r="AX18" s="24"/>
      <c r="AY18" s="24"/>
      <c r="AZ18" s="25" t="n">
        <f aca="false">SUM(D18:AY18)</f>
        <v>24</v>
      </c>
      <c r="BA18" s="26" t="n">
        <v>40</v>
      </c>
      <c r="BB18" s="27" t="n">
        <f aca="false">AZ18*BA18*$BB$30</f>
        <v>161280</v>
      </c>
    </row>
    <row r="19" customFormat="false" ht="15" hidden="false" customHeight="true" outlineLevel="0" collapsed="false">
      <c r="A19" s="22" t="s">
        <v>75</v>
      </c>
      <c r="B19" s="23" t="s">
        <v>5</v>
      </c>
      <c r="C19" s="22" t="s">
        <v>68</v>
      </c>
      <c r="D19" s="24" t="n">
        <v>2</v>
      </c>
      <c r="E19" s="24"/>
      <c r="F19" s="24"/>
      <c r="G19" s="24"/>
      <c r="H19" s="24" t="n">
        <v>2</v>
      </c>
      <c r="I19" s="24"/>
      <c r="J19" s="24"/>
      <c r="K19" s="24"/>
      <c r="L19" s="24" t="n">
        <v>2</v>
      </c>
      <c r="M19" s="24"/>
      <c r="N19" s="24"/>
      <c r="O19" s="24"/>
      <c r="P19" s="24" t="n">
        <v>3</v>
      </c>
      <c r="Q19" s="24"/>
      <c r="R19" s="24"/>
      <c r="S19" s="24"/>
      <c r="T19" s="24" t="n">
        <v>3</v>
      </c>
      <c r="U19" s="24"/>
      <c r="V19" s="24"/>
      <c r="W19" s="24"/>
      <c r="X19" s="24" t="n">
        <v>3</v>
      </c>
      <c r="Y19" s="24"/>
      <c r="Z19" s="24"/>
      <c r="AA19" s="24"/>
      <c r="AB19" s="24" t="n">
        <v>3</v>
      </c>
      <c r="AC19" s="24"/>
      <c r="AD19" s="24"/>
      <c r="AE19" s="24"/>
      <c r="AF19" s="24" t="n">
        <v>3</v>
      </c>
      <c r="AG19" s="24"/>
      <c r="AH19" s="24"/>
      <c r="AI19" s="24"/>
      <c r="AJ19" s="24" t="n">
        <v>3</v>
      </c>
      <c r="AK19" s="24"/>
      <c r="AL19" s="24"/>
      <c r="AM19" s="24"/>
      <c r="AN19" s="24" t="n">
        <v>3</v>
      </c>
      <c r="AO19" s="24"/>
      <c r="AP19" s="24"/>
      <c r="AQ19" s="24"/>
      <c r="AR19" s="24" t="n">
        <v>2</v>
      </c>
      <c r="AS19" s="24"/>
      <c r="AT19" s="24"/>
      <c r="AU19" s="24"/>
      <c r="AV19" s="24" t="n">
        <v>2</v>
      </c>
      <c r="AW19" s="24"/>
      <c r="AX19" s="24"/>
      <c r="AY19" s="24"/>
      <c r="AZ19" s="25" t="n">
        <f aca="false">SUM(D19:AY19)</f>
        <v>31</v>
      </c>
      <c r="BA19" s="26" t="n">
        <v>40</v>
      </c>
      <c r="BB19" s="27" t="n">
        <f aca="false">AZ19*BA19*$BB$30</f>
        <v>208320</v>
      </c>
    </row>
    <row r="20" customFormat="false" ht="15" hidden="false" customHeight="true" outlineLevel="0" collapsed="false">
      <c r="A20" s="22" t="s">
        <v>76</v>
      </c>
      <c r="B20" s="23" t="s">
        <v>5</v>
      </c>
      <c r="C20" s="22" t="s">
        <v>68</v>
      </c>
      <c r="D20" s="24" t="n">
        <v>2</v>
      </c>
      <c r="E20" s="24"/>
      <c r="F20" s="24"/>
      <c r="G20" s="24"/>
      <c r="H20" s="24" t="n">
        <v>2</v>
      </c>
      <c r="I20" s="24"/>
      <c r="J20" s="24"/>
      <c r="K20" s="24"/>
      <c r="L20" s="24" t="n">
        <v>2</v>
      </c>
      <c r="M20" s="24"/>
      <c r="N20" s="24"/>
      <c r="O20" s="24"/>
      <c r="P20" s="24" t="n">
        <v>2</v>
      </c>
      <c r="Q20" s="24"/>
      <c r="R20" s="24"/>
      <c r="S20" s="24"/>
      <c r="T20" s="24" t="n">
        <v>2</v>
      </c>
      <c r="U20" s="24"/>
      <c r="V20" s="24"/>
      <c r="W20" s="24"/>
      <c r="X20" s="24" t="n">
        <v>1</v>
      </c>
      <c r="Y20" s="24"/>
      <c r="Z20" s="24"/>
      <c r="AA20" s="24"/>
      <c r="AB20" s="24" t="n">
        <v>1</v>
      </c>
      <c r="AC20" s="24"/>
      <c r="AD20" s="24"/>
      <c r="AE20" s="24"/>
      <c r="AF20" s="24" t="n">
        <v>1</v>
      </c>
      <c r="AG20" s="24"/>
      <c r="AH20" s="24"/>
      <c r="AI20" s="24"/>
      <c r="AJ20" s="24" t="n">
        <v>1</v>
      </c>
      <c r="AK20" s="24"/>
      <c r="AL20" s="24"/>
      <c r="AM20" s="24"/>
      <c r="AN20" s="24" t="n">
        <v>1</v>
      </c>
      <c r="AO20" s="24"/>
      <c r="AP20" s="24"/>
      <c r="AQ20" s="24"/>
      <c r="AR20" s="24" t="n">
        <v>1</v>
      </c>
      <c r="AS20" s="24"/>
      <c r="AT20" s="24"/>
      <c r="AU20" s="24"/>
      <c r="AV20" s="24" t="n">
        <v>1</v>
      </c>
      <c r="AW20" s="24"/>
      <c r="AX20" s="24"/>
      <c r="AY20" s="24"/>
      <c r="AZ20" s="25" t="n">
        <f aca="false">SUM(D20:AY20)</f>
        <v>17</v>
      </c>
      <c r="BA20" s="26" t="n">
        <v>40</v>
      </c>
      <c r="BB20" s="27" t="n">
        <f aca="false">AZ20*BA20*$BB$30</f>
        <v>114240</v>
      </c>
    </row>
    <row r="21" customFormat="false" ht="15" hidden="false" customHeight="true" outlineLevel="0" collapsed="false">
      <c r="A21" s="22" t="s">
        <v>77</v>
      </c>
      <c r="B21" s="23" t="s">
        <v>5</v>
      </c>
      <c r="C21" s="22" t="s">
        <v>68</v>
      </c>
      <c r="D21" s="24" t="n">
        <v>2</v>
      </c>
      <c r="E21" s="24"/>
      <c r="F21" s="24"/>
      <c r="G21" s="24"/>
      <c r="H21" s="24" t="n">
        <v>2</v>
      </c>
      <c r="I21" s="24"/>
      <c r="J21" s="24"/>
      <c r="K21" s="24"/>
      <c r="L21" s="24" t="n">
        <v>2</v>
      </c>
      <c r="M21" s="24"/>
      <c r="N21" s="24"/>
      <c r="O21" s="24"/>
      <c r="P21" s="24" t="n">
        <v>2</v>
      </c>
      <c r="Q21" s="24"/>
      <c r="R21" s="24"/>
      <c r="S21" s="24"/>
      <c r="T21" s="24" t="n">
        <v>2</v>
      </c>
      <c r="U21" s="24"/>
      <c r="V21" s="24"/>
      <c r="W21" s="24"/>
      <c r="X21" s="24" t="n">
        <v>2</v>
      </c>
      <c r="Y21" s="24"/>
      <c r="Z21" s="24"/>
      <c r="AA21" s="24"/>
      <c r="AB21" s="24" t="n">
        <v>2</v>
      </c>
      <c r="AC21" s="24"/>
      <c r="AD21" s="24"/>
      <c r="AE21" s="24"/>
      <c r="AF21" s="24" t="n">
        <v>2</v>
      </c>
      <c r="AG21" s="24"/>
      <c r="AH21" s="24"/>
      <c r="AI21" s="24"/>
      <c r="AJ21" s="24" t="n">
        <v>1</v>
      </c>
      <c r="AK21" s="24"/>
      <c r="AL21" s="24"/>
      <c r="AM21" s="24"/>
      <c r="AN21" s="24" t="n">
        <v>1</v>
      </c>
      <c r="AO21" s="24"/>
      <c r="AP21" s="24"/>
      <c r="AQ21" s="24"/>
      <c r="AR21" s="24" t="n">
        <v>1</v>
      </c>
      <c r="AS21" s="24"/>
      <c r="AT21" s="24"/>
      <c r="AU21" s="24"/>
      <c r="AV21" s="24" t="n">
        <v>1</v>
      </c>
      <c r="AW21" s="24"/>
      <c r="AX21" s="24"/>
      <c r="AY21" s="24"/>
      <c r="AZ21" s="25" t="n">
        <f aca="false">SUM(D21:AY21)</f>
        <v>20</v>
      </c>
      <c r="BA21" s="26" t="n">
        <v>40</v>
      </c>
      <c r="BB21" s="27" t="n">
        <f aca="false">AZ21*BA21*$BB$30</f>
        <v>134400</v>
      </c>
    </row>
    <row r="22" customFormat="false" ht="15" hidden="false" customHeight="true" outlineLevel="0" collapsed="false">
      <c r="A22" s="22" t="s">
        <v>78</v>
      </c>
      <c r="B22" s="23" t="s">
        <v>5</v>
      </c>
      <c r="C22" s="22" t="s">
        <v>68</v>
      </c>
      <c r="D22" s="24" t="n">
        <v>3</v>
      </c>
      <c r="E22" s="24"/>
      <c r="F22" s="24"/>
      <c r="G22" s="24"/>
      <c r="H22" s="24" t="n">
        <v>3</v>
      </c>
      <c r="I22" s="24"/>
      <c r="J22" s="24"/>
      <c r="K22" s="24"/>
      <c r="L22" s="24" t="n">
        <v>3</v>
      </c>
      <c r="M22" s="24"/>
      <c r="N22" s="24"/>
      <c r="O22" s="24"/>
      <c r="P22" s="24" t="n">
        <v>3</v>
      </c>
      <c r="Q22" s="24"/>
      <c r="R22" s="24"/>
      <c r="S22" s="24"/>
      <c r="T22" s="24" t="n">
        <v>2</v>
      </c>
      <c r="U22" s="24"/>
      <c r="V22" s="24"/>
      <c r="W22" s="24"/>
      <c r="X22" s="24" t="n">
        <v>2</v>
      </c>
      <c r="Y22" s="24"/>
      <c r="Z22" s="24"/>
      <c r="AA22" s="24"/>
      <c r="AB22" s="24" t="n">
        <v>2</v>
      </c>
      <c r="AC22" s="24"/>
      <c r="AD22" s="24"/>
      <c r="AE22" s="24"/>
      <c r="AF22" s="24" t="n">
        <v>2</v>
      </c>
      <c r="AG22" s="24"/>
      <c r="AH22" s="24"/>
      <c r="AI22" s="24"/>
      <c r="AJ22" s="24" t="n">
        <v>2</v>
      </c>
      <c r="AK22" s="24"/>
      <c r="AL22" s="24"/>
      <c r="AM22" s="24"/>
      <c r="AN22" s="24" t="n">
        <v>2</v>
      </c>
      <c r="AO22" s="24"/>
      <c r="AP22" s="24"/>
      <c r="AQ22" s="24"/>
      <c r="AR22" s="24" t="n">
        <v>2</v>
      </c>
      <c r="AS22" s="24"/>
      <c r="AT22" s="24"/>
      <c r="AU22" s="24"/>
      <c r="AV22" s="24" t="n">
        <v>2</v>
      </c>
      <c r="AW22" s="24"/>
      <c r="AX22" s="24"/>
      <c r="AY22" s="24"/>
      <c r="AZ22" s="25" t="n">
        <f aca="false">SUM(D22:AY22)</f>
        <v>28</v>
      </c>
      <c r="BA22" s="26" t="n">
        <v>40</v>
      </c>
      <c r="BB22" s="27" t="n">
        <f aca="false">AZ22*BA22*$BB$30</f>
        <v>188160</v>
      </c>
    </row>
    <row r="23" customFormat="false" ht="15" hidden="false" customHeight="true" outlineLevel="0" collapsed="false">
      <c r="A23" s="22" t="s">
        <v>133</v>
      </c>
      <c r="B23" s="23" t="s">
        <v>5</v>
      </c>
      <c r="C23" s="22" t="s">
        <v>68</v>
      </c>
      <c r="D23" s="24" t="n">
        <v>1</v>
      </c>
      <c r="E23" s="24"/>
      <c r="F23" s="24"/>
      <c r="G23" s="24"/>
      <c r="H23" s="24" t="n">
        <v>1</v>
      </c>
      <c r="I23" s="24"/>
      <c r="J23" s="24"/>
      <c r="K23" s="24"/>
      <c r="L23" s="24" t="n">
        <v>1</v>
      </c>
      <c r="M23" s="24"/>
      <c r="N23" s="24"/>
      <c r="O23" s="24"/>
      <c r="P23" s="24" t="n">
        <v>1</v>
      </c>
      <c r="Q23" s="24"/>
      <c r="R23" s="24"/>
      <c r="S23" s="24"/>
      <c r="T23" s="24"/>
      <c r="U23" s="24"/>
      <c r="V23" s="24"/>
      <c r="W23" s="24"/>
      <c r="X23" s="24"/>
      <c r="Y23" s="24"/>
      <c r="Z23" s="24"/>
      <c r="AA23" s="24"/>
      <c r="AB23" s="24"/>
      <c r="AC23" s="24"/>
      <c r="AD23" s="24"/>
      <c r="AE23" s="24"/>
      <c r="AF23" s="24"/>
      <c r="AG23" s="24"/>
      <c r="AH23" s="24"/>
      <c r="AI23" s="24"/>
      <c r="AJ23" s="24" t="n">
        <v>1</v>
      </c>
      <c r="AK23" s="24"/>
      <c r="AL23" s="24"/>
      <c r="AM23" s="24"/>
      <c r="AN23" s="24" t="n">
        <v>1</v>
      </c>
      <c r="AO23" s="24"/>
      <c r="AP23" s="24"/>
      <c r="AQ23" s="24"/>
      <c r="AR23" s="24" t="n">
        <v>1</v>
      </c>
      <c r="AS23" s="24"/>
      <c r="AT23" s="24"/>
      <c r="AU23" s="24"/>
      <c r="AV23" s="24" t="n">
        <v>1</v>
      </c>
      <c r="AW23" s="24"/>
      <c r="AX23" s="24"/>
      <c r="AY23" s="24"/>
      <c r="AZ23" s="25" t="n">
        <f aca="false">SUM(D23:AY23)</f>
        <v>8</v>
      </c>
      <c r="BA23" s="26" t="n">
        <v>40</v>
      </c>
      <c r="BB23" s="27" t="n">
        <f aca="false">AZ23*BA23*$BB$30</f>
        <v>53760</v>
      </c>
    </row>
    <row r="24" customFormat="false" ht="15" hidden="false" customHeight="true" outlineLevel="0" collapsed="false">
      <c r="A24" s="22" t="s">
        <v>79</v>
      </c>
      <c r="B24" s="23" t="s">
        <v>5</v>
      </c>
      <c r="C24" s="22" t="s">
        <v>68</v>
      </c>
      <c r="D24" s="24"/>
      <c r="E24" s="24"/>
      <c r="F24" s="24"/>
      <c r="G24" s="24"/>
      <c r="H24" s="24"/>
      <c r="I24" s="24"/>
      <c r="J24" s="24"/>
      <c r="K24" s="24"/>
      <c r="L24" s="24"/>
      <c r="M24" s="24"/>
      <c r="N24" s="24"/>
      <c r="O24" s="24"/>
      <c r="P24" s="24"/>
      <c r="Q24" s="24"/>
      <c r="R24" s="24"/>
      <c r="S24" s="24"/>
      <c r="T24" s="24" t="n">
        <v>2</v>
      </c>
      <c r="U24" s="24"/>
      <c r="V24" s="24"/>
      <c r="W24" s="24"/>
      <c r="X24" s="24" t="n">
        <v>2</v>
      </c>
      <c r="Y24" s="24"/>
      <c r="Z24" s="24"/>
      <c r="AA24" s="24"/>
      <c r="AB24" s="24" t="n">
        <v>2</v>
      </c>
      <c r="AC24" s="24"/>
      <c r="AD24" s="24"/>
      <c r="AE24" s="24"/>
      <c r="AF24" s="24" t="n">
        <v>2</v>
      </c>
      <c r="AG24" s="24"/>
      <c r="AH24" s="24"/>
      <c r="AI24" s="24"/>
      <c r="AJ24" s="24" t="n">
        <v>2</v>
      </c>
      <c r="AK24" s="24"/>
      <c r="AL24" s="24"/>
      <c r="AM24" s="24"/>
      <c r="AN24" s="24" t="n">
        <v>2</v>
      </c>
      <c r="AO24" s="24"/>
      <c r="AP24" s="24"/>
      <c r="AQ24" s="24"/>
      <c r="AR24" s="24" t="n">
        <v>2</v>
      </c>
      <c r="AS24" s="24"/>
      <c r="AT24" s="24"/>
      <c r="AU24" s="24"/>
      <c r="AV24" s="24" t="n">
        <v>2</v>
      </c>
      <c r="AW24" s="24"/>
      <c r="AX24" s="24"/>
      <c r="AY24" s="24"/>
      <c r="AZ24" s="25" t="n">
        <f aca="false">SUM(D24:AY24)</f>
        <v>16</v>
      </c>
      <c r="BA24" s="26" t="n">
        <v>40</v>
      </c>
      <c r="BB24" s="27" t="n">
        <f aca="false">AZ24*BA24*$BB$30</f>
        <v>107520</v>
      </c>
    </row>
    <row r="25" customFormat="false" ht="15" hidden="false" customHeight="true" outlineLevel="0" collapsed="false">
      <c r="A25" s="22"/>
      <c r="B25" s="23" t="s">
        <v>5</v>
      </c>
      <c r="C25" s="22"/>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5" t="n">
        <f aca="false">SUM(D25:AY25)</f>
        <v>0</v>
      </c>
      <c r="BA25" s="26" t="n">
        <v>0</v>
      </c>
      <c r="BB25" s="27" t="n">
        <f aca="false">AZ25*BA25*$BB$30</f>
        <v>0</v>
      </c>
    </row>
    <row r="26" customFormat="false" ht="15" hidden="false" customHeight="true" outlineLevel="0" collapsed="false">
      <c r="A26" s="28" t="s">
        <v>80</v>
      </c>
      <c r="B26" s="28"/>
      <c r="C26" s="28"/>
      <c r="D26" s="29" t="n">
        <f aca="false">SUM(D12:D25)</f>
        <v>17.5</v>
      </c>
      <c r="E26" s="29"/>
      <c r="F26" s="29"/>
      <c r="G26" s="29"/>
      <c r="H26" s="29" t="n">
        <f aca="false">SUM(H12:H25)</f>
        <v>17.5</v>
      </c>
      <c r="I26" s="29"/>
      <c r="J26" s="29"/>
      <c r="K26" s="29"/>
      <c r="L26" s="29" t="n">
        <f aca="false">SUM(L12:L25)</f>
        <v>17.5</v>
      </c>
      <c r="M26" s="29"/>
      <c r="N26" s="29"/>
      <c r="O26" s="29"/>
      <c r="P26" s="29" t="n">
        <f aca="false">SUM(P12:P25)</f>
        <v>20.2</v>
      </c>
      <c r="Q26" s="29"/>
      <c r="R26" s="29"/>
      <c r="S26" s="29"/>
      <c r="T26" s="29" t="n">
        <f aca="false">SUM(T12:T25)</f>
        <v>20.2</v>
      </c>
      <c r="U26" s="29"/>
      <c r="V26" s="29"/>
      <c r="W26" s="29"/>
      <c r="X26" s="29" t="n">
        <f aca="false">SUM(X12:X25)</f>
        <v>19.2</v>
      </c>
      <c r="Y26" s="29"/>
      <c r="Z26" s="29"/>
      <c r="AA26" s="29"/>
      <c r="AB26" s="29" t="n">
        <f aca="false">SUM(AB12:AB25)</f>
        <v>18.7</v>
      </c>
      <c r="AC26" s="29"/>
      <c r="AD26" s="29"/>
      <c r="AE26" s="29"/>
      <c r="AF26" s="29" t="n">
        <f aca="false">SUM(AF12:AF25)</f>
        <v>18.7</v>
      </c>
      <c r="AG26" s="29"/>
      <c r="AH26" s="29"/>
      <c r="AI26" s="29"/>
      <c r="AJ26" s="29" t="n">
        <f aca="false">SUM(AJ12:AJ25)</f>
        <v>18.7</v>
      </c>
      <c r="AK26" s="29"/>
      <c r="AL26" s="29"/>
      <c r="AM26" s="29"/>
      <c r="AN26" s="29" t="n">
        <f aca="false">SUM(AN12:AN25)</f>
        <v>18.7</v>
      </c>
      <c r="AO26" s="29"/>
      <c r="AP26" s="29"/>
      <c r="AQ26" s="29"/>
      <c r="AR26" s="29" t="n">
        <f aca="false">SUM(AR12:AR25)</f>
        <v>17.7</v>
      </c>
      <c r="AS26" s="29"/>
      <c r="AT26" s="29"/>
      <c r="AU26" s="29"/>
      <c r="AV26" s="29" t="n">
        <f aca="false">SUM(AV12:AV25)</f>
        <v>16.8</v>
      </c>
      <c r="AW26" s="29"/>
      <c r="AX26" s="29"/>
      <c r="AY26" s="29"/>
      <c r="AZ26" s="29" t="n">
        <f aca="false">SUM(AZ12:AZ25)</f>
        <v>221.4</v>
      </c>
      <c r="BA26" s="30"/>
      <c r="BB26" s="31" t="n">
        <f aca="false">SUM(BB12:BB25)</f>
        <v>1487808</v>
      </c>
    </row>
    <row r="27" customFormat="false" ht="15" hidden="false" customHeight="true" outlineLevel="0" collapsed="false">
      <c r="A27" s="32" t="s">
        <v>81</v>
      </c>
      <c r="B27" s="32"/>
      <c r="C27" s="32"/>
      <c r="D27" s="32"/>
      <c r="E27" s="32"/>
      <c r="F27" s="32"/>
      <c r="G27" s="32"/>
      <c r="H27" s="32"/>
      <c r="I27" s="32"/>
      <c r="J27" s="32"/>
      <c r="K27" s="32"/>
      <c r="L27" s="32"/>
      <c r="M27" s="32"/>
      <c r="N27" s="32"/>
      <c r="O27" s="32"/>
      <c r="P27" s="32"/>
      <c r="Q27" s="32"/>
      <c r="R27" s="32"/>
      <c r="S27" s="32"/>
      <c r="T27" s="32"/>
    </row>
    <row r="28" customFormat="false" ht="15" hidden="false" customHeight="true" outlineLevel="0" collapsed="false">
      <c r="AZ28" s="33" t="s">
        <v>82</v>
      </c>
      <c r="BA28" s="33"/>
      <c r="BB28" s="34" t="n">
        <f aca="false">BB26</f>
        <v>1487808</v>
      </c>
    </row>
    <row r="29" customFormat="false" ht="15" hidden="false" customHeight="true" outlineLevel="0" collapsed="false">
      <c r="AZ29" s="33" t="s">
        <v>83</v>
      </c>
      <c r="BA29" s="33"/>
      <c r="BB29" s="35" t="n">
        <f aca="false">'Executive Summary'!$E$1*BB28</f>
        <v>126463680</v>
      </c>
    </row>
    <row r="30" customFormat="false" ht="23.25" hidden="false" customHeight="true" outlineLevel="0" collapsed="false">
      <c r="AZ30" s="33" t="s">
        <v>84</v>
      </c>
      <c r="BA30" s="33"/>
      <c r="BB30" s="36" t="n">
        <v>168</v>
      </c>
    </row>
    <row r="33" customFormat="false" ht="15" hidden="false" customHeight="true" outlineLevel="0" collapsed="false">
      <c r="A33" s="37" t="s">
        <v>85</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row>
    <row r="34" customFormat="false" ht="15" hidden="false" customHeight="true" outlineLevel="0" collapsed="false">
      <c r="A34" s="16" t="s">
        <v>86</v>
      </c>
      <c r="B34" s="16"/>
      <c r="C34" s="16"/>
      <c r="D34" s="16" t="s">
        <v>87</v>
      </c>
      <c r="E34" s="16"/>
      <c r="F34" s="16"/>
      <c r="G34" s="16"/>
      <c r="H34" s="16" t="s">
        <v>88</v>
      </c>
      <c r="I34" s="16"/>
      <c r="J34" s="16"/>
      <c r="K34" s="16"/>
      <c r="L34" s="16" t="s">
        <v>89</v>
      </c>
      <c r="M34" s="16"/>
      <c r="N34" s="16"/>
      <c r="O34" s="16"/>
      <c r="P34" s="16" t="s">
        <v>90</v>
      </c>
      <c r="Q34" s="16"/>
      <c r="R34" s="16"/>
      <c r="S34" s="16"/>
      <c r="T34" s="16" t="s">
        <v>91</v>
      </c>
      <c r="U34" s="16"/>
      <c r="V34" s="16"/>
      <c r="W34" s="16"/>
      <c r="X34" s="16" t="s">
        <v>92</v>
      </c>
      <c r="Y34" s="16"/>
      <c r="Z34" s="16"/>
      <c r="AA34" s="16"/>
    </row>
    <row r="35" customFormat="false" ht="15" hidden="false" customHeight="true" outlineLevel="0" collapsed="false">
      <c r="A35" s="38" t="s">
        <v>93</v>
      </c>
      <c r="B35" s="38"/>
      <c r="C35" s="38"/>
      <c r="D35" s="39" t="n">
        <v>44.5</v>
      </c>
      <c r="E35" s="39"/>
      <c r="F35" s="39"/>
      <c r="G35" s="39"/>
      <c r="H35" s="39" t="n">
        <v>17.6</v>
      </c>
      <c r="I35" s="39"/>
      <c r="J35" s="39"/>
      <c r="K35" s="39"/>
      <c r="L35" s="39" t="n">
        <v>55</v>
      </c>
      <c r="M35" s="39"/>
      <c r="N35" s="39"/>
      <c r="O35" s="39"/>
      <c r="P35" s="39" t="n">
        <v>45</v>
      </c>
      <c r="Q35" s="39"/>
      <c r="R35" s="39"/>
      <c r="S35" s="39"/>
      <c r="T35" s="39" t="n">
        <v>16</v>
      </c>
      <c r="U35" s="39"/>
      <c r="V35" s="39"/>
      <c r="W35" s="39"/>
      <c r="X35" s="39" t="n">
        <v>12</v>
      </c>
      <c r="Y35" s="39"/>
      <c r="Z35" s="39"/>
      <c r="AA35" s="39"/>
    </row>
    <row r="36" customFormat="false" ht="15" hidden="false" customHeight="true" outlineLevel="0" collapsed="false">
      <c r="A36" s="38" t="s">
        <v>94</v>
      </c>
      <c r="B36" s="38"/>
      <c r="C36" s="38"/>
      <c r="D36" s="27" t="n">
        <f aca="false">(D35/$AZ$26)*'Executive Summary'!$E$14</f>
        <v>200993.676603433</v>
      </c>
      <c r="E36" s="27"/>
      <c r="F36" s="27"/>
      <c r="G36" s="27"/>
      <c r="H36" s="27" t="n">
        <f aca="false">(H35/$AZ$26)*'Executive Summary'!$E$14</f>
        <v>79494.1282746161</v>
      </c>
      <c r="I36" s="27"/>
      <c r="J36" s="27"/>
      <c r="K36" s="27"/>
      <c r="L36" s="27" t="n">
        <f aca="false">(L35/$AZ$26)*'Executive Summary'!$E$14</f>
        <v>248419.150858175</v>
      </c>
      <c r="M36" s="27"/>
      <c r="N36" s="27"/>
      <c r="O36" s="27"/>
      <c r="P36" s="27" t="n">
        <f aca="false">(P35/$AZ$26)*'Executive Summary'!$E$14</f>
        <v>203252.032520325</v>
      </c>
      <c r="Q36" s="27"/>
      <c r="R36" s="27"/>
      <c r="S36" s="27"/>
      <c r="T36" s="27" t="n">
        <f aca="false">(T35/$AZ$26)*'Executive Summary'!$E$14</f>
        <v>72267.3893405601</v>
      </c>
      <c r="U36" s="27"/>
      <c r="V36" s="27"/>
      <c r="W36" s="27"/>
      <c r="X36" s="27" t="n">
        <f aca="false">(X35/$AZ$26)*'Executive Summary'!$E$14</f>
        <v>54200.5420054201</v>
      </c>
      <c r="Y36" s="27"/>
      <c r="Z36" s="27"/>
      <c r="AA36" s="27"/>
    </row>
    <row r="40" customFormat="false" ht="15" hidden="false" customHeight="true" outlineLevel="0" collapsed="false">
      <c r="A40" s="37" t="s">
        <v>95</v>
      </c>
      <c r="B40" s="37"/>
      <c r="C40" s="37"/>
      <c r="D40" s="37"/>
      <c r="E40" s="37"/>
      <c r="F40" s="37"/>
      <c r="G40" s="37"/>
    </row>
    <row r="41" customFormat="false" ht="15" hidden="false" customHeight="true" outlineLevel="0" collapsed="false">
      <c r="A41" s="16" t="s">
        <v>64</v>
      </c>
      <c r="B41" s="16"/>
      <c r="C41" s="16"/>
      <c r="D41" s="16" t="s">
        <v>45</v>
      </c>
      <c r="E41" s="16"/>
      <c r="F41" s="16"/>
      <c r="G41" s="16"/>
      <c r="H41" s="16" t="s">
        <v>46</v>
      </c>
      <c r="I41" s="16"/>
      <c r="J41" s="16"/>
      <c r="K41" s="16"/>
      <c r="L41" s="16" t="s">
        <v>47</v>
      </c>
      <c r="M41" s="16"/>
      <c r="N41" s="16"/>
      <c r="O41" s="16"/>
      <c r="P41" s="16" t="s">
        <v>48</v>
      </c>
      <c r="Q41" s="16"/>
      <c r="R41" s="16"/>
      <c r="S41" s="16"/>
      <c r="T41" s="16" t="s">
        <v>49</v>
      </c>
      <c r="U41" s="16"/>
      <c r="V41" s="16"/>
      <c r="W41" s="16"/>
      <c r="X41" s="16" t="s">
        <v>50</v>
      </c>
      <c r="Y41" s="16"/>
      <c r="Z41" s="16"/>
      <c r="AA41" s="16"/>
      <c r="AB41" s="16" t="s">
        <v>51</v>
      </c>
      <c r="AC41" s="16"/>
      <c r="AD41" s="16"/>
      <c r="AE41" s="16"/>
      <c r="AF41" s="16" t="s">
        <v>52</v>
      </c>
      <c r="AG41" s="16"/>
      <c r="AH41" s="16"/>
      <c r="AI41" s="16"/>
      <c r="AJ41" s="16" t="s">
        <v>53</v>
      </c>
      <c r="AK41" s="16"/>
      <c r="AL41" s="16"/>
      <c r="AM41" s="16"/>
      <c r="AN41" s="16" t="s">
        <v>54</v>
      </c>
      <c r="AO41" s="16"/>
      <c r="AP41" s="16"/>
      <c r="AQ41" s="16"/>
      <c r="AR41" s="16" t="s">
        <v>55</v>
      </c>
      <c r="AS41" s="16"/>
      <c r="AT41" s="16"/>
      <c r="AU41" s="16"/>
      <c r="AV41" s="16" t="s">
        <v>56</v>
      </c>
      <c r="AW41" s="16"/>
      <c r="AX41" s="16"/>
      <c r="AY41" s="16"/>
      <c r="AZ41" s="16" t="s">
        <v>96</v>
      </c>
      <c r="BA41" s="16" t="s">
        <v>97</v>
      </c>
    </row>
    <row r="42" customFormat="false" ht="15" hidden="false" customHeight="true" outlineLevel="0" collapsed="false">
      <c r="A42" s="40" t="s">
        <v>98</v>
      </c>
      <c r="B42" s="40"/>
      <c r="C42" s="40"/>
      <c r="D42" s="41" t="n">
        <f aca="false">(D26/$AZ$26)*'Executive Summary'!$E$14</f>
        <v>79042.4570912376</v>
      </c>
      <c r="E42" s="41"/>
      <c r="F42" s="41"/>
      <c r="G42" s="41"/>
      <c r="H42" s="41" t="n">
        <f aca="false">(H26/$AZ$26)*'Executive Summary'!$E$14</f>
        <v>79042.4570912376</v>
      </c>
      <c r="I42" s="41"/>
      <c r="J42" s="41"/>
      <c r="K42" s="41"/>
      <c r="L42" s="41" t="n">
        <f aca="false">(L26/$AZ$26)*'Executive Summary'!$E$14</f>
        <v>79042.4570912376</v>
      </c>
      <c r="M42" s="41"/>
      <c r="N42" s="41"/>
      <c r="O42" s="41"/>
      <c r="P42" s="41" t="n">
        <f aca="false">(P26/$AZ$26)*'Executive Summary'!$E$14</f>
        <v>91237.5790424571</v>
      </c>
      <c r="Q42" s="41"/>
      <c r="R42" s="41"/>
      <c r="S42" s="41"/>
      <c r="T42" s="41" t="n">
        <f aca="false">(T26/$AZ$26)*'Executive Summary'!$E$14</f>
        <v>91237.5790424571</v>
      </c>
      <c r="U42" s="41"/>
      <c r="V42" s="41"/>
      <c r="W42" s="41"/>
      <c r="X42" s="41" t="n">
        <f aca="false">(X26/$AZ$26)*'Executive Summary'!$E$14</f>
        <v>86720.8672086721</v>
      </c>
      <c r="Y42" s="41"/>
      <c r="Z42" s="41"/>
      <c r="AA42" s="41"/>
      <c r="AB42" s="41" t="n">
        <f aca="false">(AB26/$AZ$26)*'Executive Summary'!$E$14</f>
        <v>84462.5112917796</v>
      </c>
      <c r="AC42" s="41"/>
      <c r="AD42" s="41"/>
      <c r="AE42" s="41"/>
      <c r="AF42" s="41" t="n">
        <f aca="false">(AF26/$AZ$26)*'Executive Summary'!$E$14</f>
        <v>84462.5112917796</v>
      </c>
      <c r="AG42" s="41"/>
      <c r="AH42" s="41"/>
      <c r="AI42" s="41"/>
      <c r="AJ42" s="41" t="n">
        <f aca="false">(AJ26/$AZ$26)*'Executive Summary'!$E$14</f>
        <v>84462.5112917796</v>
      </c>
      <c r="AK42" s="41"/>
      <c r="AL42" s="41"/>
      <c r="AM42" s="41"/>
      <c r="AN42" s="41" t="n">
        <f aca="false">(AN26/$AZ$26)*'Executive Summary'!$E$14</f>
        <v>84462.5112917796</v>
      </c>
      <c r="AO42" s="41"/>
      <c r="AP42" s="41"/>
      <c r="AQ42" s="41"/>
      <c r="AR42" s="41" t="n">
        <f aca="false">(AR26/$AZ$26)*'Executive Summary'!$E$14</f>
        <v>79945.7994579946</v>
      </c>
      <c r="AS42" s="41"/>
      <c r="AT42" s="41"/>
      <c r="AU42" s="41"/>
      <c r="AV42" s="41" t="n">
        <f aca="false">(AV26/$AZ$26)*'Executive Summary'!$E$14</f>
        <v>75880.7588075881</v>
      </c>
      <c r="AW42" s="41"/>
      <c r="AX42" s="41"/>
      <c r="AY42" s="41"/>
      <c r="AZ42" s="42" t="n">
        <f aca="false">SUM(D42:AY42)</f>
        <v>1000000</v>
      </c>
      <c r="BA42" s="43"/>
    </row>
    <row r="43" customFormat="false" ht="23.25" hidden="false" customHeight="true" outlineLevel="0" collapsed="false">
      <c r="A43" s="40" t="s">
        <v>99</v>
      </c>
      <c r="B43" s="40"/>
      <c r="C43" s="40"/>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2" t="n">
        <f aca="false">SUM(D43:AY43)</f>
        <v>0</v>
      </c>
      <c r="BA43" s="42" t="n">
        <f aca="false">AZ42-AZ43</f>
        <v>1000000</v>
      </c>
    </row>
    <row r="44" customFormat="false" ht="23.25" hidden="false" customHeight="true" outlineLevel="0" collapsed="false">
      <c r="A44" s="40" t="s">
        <v>100</v>
      </c>
      <c r="B44" s="40"/>
      <c r="C44" s="40"/>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2" t="n">
        <f aca="false">SUM(D44:AY44)</f>
        <v>0</v>
      </c>
      <c r="BA44" s="42" t="n">
        <f aca="false">AZ42-AZ44</f>
        <v>1000000</v>
      </c>
    </row>
  </sheetData>
  <mergeCells count="292">
    <mergeCell ref="A1:C1"/>
    <mergeCell ref="D1:G1"/>
    <mergeCell ref="H1:K1"/>
    <mergeCell ref="L1:O1"/>
    <mergeCell ref="P1:S1"/>
    <mergeCell ref="T1:W1"/>
    <mergeCell ref="X1:AA1"/>
    <mergeCell ref="AB1:AE1"/>
    <mergeCell ref="AF1:AI1"/>
    <mergeCell ref="AJ1:AM1"/>
    <mergeCell ref="AN1:AQ1"/>
    <mergeCell ref="AR1:AU1"/>
    <mergeCell ref="AV1:AY1"/>
    <mergeCell ref="A2:C2"/>
    <mergeCell ref="A3:C3"/>
    <mergeCell ref="A4:C4"/>
    <mergeCell ref="A5:C5"/>
    <mergeCell ref="A6:C6"/>
    <mergeCell ref="A7:C7"/>
    <mergeCell ref="A8:C8"/>
    <mergeCell ref="D11:G11"/>
    <mergeCell ref="H11:K11"/>
    <mergeCell ref="L11:O11"/>
    <mergeCell ref="P11:S11"/>
    <mergeCell ref="T11:W11"/>
    <mergeCell ref="X11:AA11"/>
    <mergeCell ref="AB11:AE11"/>
    <mergeCell ref="AF11:AI11"/>
    <mergeCell ref="AJ11:AM11"/>
    <mergeCell ref="AN11:AQ11"/>
    <mergeCell ref="AR11:AU11"/>
    <mergeCell ref="AV11:AY11"/>
    <mergeCell ref="D12:G12"/>
    <mergeCell ref="H12:K12"/>
    <mergeCell ref="L12:O12"/>
    <mergeCell ref="P12:S12"/>
    <mergeCell ref="T12:W12"/>
    <mergeCell ref="X12:AA12"/>
    <mergeCell ref="AB12:AE12"/>
    <mergeCell ref="AF12:AI12"/>
    <mergeCell ref="AJ12:AM12"/>
    <mergeCell ref="AN12:AQ12"/>
    <mergeCell ref="AR12:AU12"/>
    <mergeCell ref="AV12:AY12"/>
    <mergeCell ref="D13:G13"/>
    <mergeCell ref="H13:K13"/>
    <mergeCell ref="L13:O13"/>
    <mergeCell ref="P13:S13"/>
    <mergeCell ref="T13:W13"/>
    <mergeCell ref="X13:AA13"/>
    <mergeCell ref="AB13:AE13"/>
    <mergeCell ref="AF13:AI13"/>
    <mergeCell ref="AJ13:AM13"/>
    <mergeCell ref="AN13:AQ13"/>
    <mergeCell ref="AR13:AU13"/>
    <mergeCell ref="AV13:AY13"/>
    <mergeCell ref="D14:G14"/>
    <mergeCell ref="H14:K14"/>
    <mergeCell ref="L14:O14"/>
    <mergeCell ref="P14:S14"/>
    <mergeCell ref="T14:W14"/>
    <mergeCell ref="X14:AA14"/>
    <mergeCell ref="AB14:AE14"/>
    <mergeCell ref="AF14:AI14"/>
    <mergeCell ref="AJ14:AM14"/>
    <mergeCell ref="AN14:AQ14"/>
    <mergeCell ref="AR14:AU14"/>
    <mergeCell ref="AV14:AY14"/>
    <mergeCell ref="D15:G15"/>
    <mergeCell ref="H15:K15"/>
    <mergeCell ref="L15:O15"/>
    <mergeCell ref="P15:S15"/>
    <mergeCell ref="T15:W15"/>
    <mergeCell ref="X15:AA15"/>
    <mergeCell ref="AB15:AE15"/>
    <mergeCell ref="AF15:AI15"/>
    <mergeCell ref="AJ15:AM15"/>
    <mergeCell ref="AN15:AQ15"/>
    <mergeCell ref="AR15:AU15"/>
    <mergeCell ref="AV15:AY15"/>
    <mergeCell ref="D16:G16"/>
    <mergeCell ref="H16:K16"/>
    <mergeCell ref="L16:O16"/>
    <mergeCell ref="P16:S16"/>
    <mergeCell ref="T16:W16"/>
    <mergeCell ref="X16:AA16"/>
    <mergeCell ref="AB16:AE16"/>
    <mergeCell ref="AF16:AI16"/>
    <mergeCell ref="AJ16:AM16"/>
    <mergeCell ref="AN16:AQ16"/>
    <mergeCell ref="AR16:AU16"/>
    <mergeCell ref="AV16:AY16"/>
    <mergeCell ref="D17:G17"/>
    <mergeCell ref="H17:K17"/>
    <mergeCell ref="L17:O17"/>
    <mergeCell ref="P17:S17"/>
    <mergeCell ref="T17:W17"/>
    <mergeCell ref="X17:AA17"/>
    <mergeCell ref="AB17:AE17"/>
    <mergeCell ref="AF17:AI17"/>
    <mergeCell ref="AJ17:AM17"/>
    <mergeCell ref="AN17:AQ17"/>
    <mergeCell ref="AR17:AU17"/>
    <mergeCell ref="AV17:AY17"/>
    <mergeCell ref="D18:G18"/>
    <mergeCell ref="H18:K18"/>
    <mergeCell ref="L18:O18"/>
    <mergeCell ref="P18:S18"/>
    <mergeCell ref="T18:W18"/>
    <mergeCell ref="X18:AA18"/>
    <mergeCell ref="AB18:AE18"/>
    <mergeCell ref="AF18:AI18"/>
    <mergeCell ref="AJ18:AM18"/>
    <mergeCell ref="AN18:AQ18"/>
    <mergeCell ref="AR18:AU18"/>
    <mergeCell ref="AV18:AY18"/>
    <mergeCell ref="D19:G19"/>
    <mergeCell ref="H19:K19"/>
    <mergeCell ref="L19:O19"/>
    <mergeCell ref="P19:S19"/>
    <mergeCell ref="T19:W19"/>
    <mergeCell ref="X19:AA19"/>
    <mergeCell ref="AB19:AE19"/>
    <mergeCell ref="AF19:AI19"/>
    <mergeCell ref="AJ19:AM19"/>
    <mergeCell ref="AN19:AQ19"/>
    <mergeCell ref="AR19:AU19"/>
    <mergeCell ref="AV19:AY19"/>
    <mergeCell ref="D20:G20"/>
    <mergeCell ref="H20:K20"/>
    <mergeCell ref="L20:O20"/>
    <mergeCell ref="P20:S20"/>
    <mergeCell ref="T20:W20"/>
    <mergeCell ref="X20:AA20"/>
    <mergeCell ref="AB20:AE20"/>
    <mergeCell ref="AF20:AI20"/>
    <mergeCell ref="AJ20:AM20"/>
    <mergeCell ref="AN20:AQ20"/>
    <mergeCell ref="AR20:AU20"/>
    <mergeCell ref="AV20:AY20"/>
    <mergeCell ref="D21:G21"/>
    <mergeCell ref="H21:K21"/>
    <mergeCell ref="L21:O21"/>
    <mergeCell ref="P21:S21"/>
    <mergeCell ref="T21:W21"/>
    <mergeCell ref="X21:AA21"/>
    <mergeCell ref="AB21:AE21"/>
    <mergeCell ref="AF21:AI21"/>
    <mergeCell ref="AJ21:AM21"/>
    <mergeCell ref="AN21:AQ21"/>
    <mergeCell ref="AR21:AU21"/>
    <mergeCell ref="AV21:AY21"/>
    <mergeCell ref="D22:G22"/>
    <mergeCell ref="H22:K22"/>
    <mergeCell ref="L22:O22"/>
    <mergeCell ref="P22:S22"/>
    <mergeCell ref="T22:W22"/>
    <mergeCell ref="X22:AA22"/>
    <mergeCell ref="AB22:AE22"/>
    <mergeCell ref="AF22:AI22"/>
    <mergeCell ref="AJ22:AM22"/>
    <mergeCell ref="AN22:AQ22"/>
    <mergeCell ref="AR22:AU22"/>
    <mergeCell ref="AV22:AY22"/>
    <mergeCell ref="D23:G23"/>
    <mergeCell ref="H23:K23"/>
    <mergeCell ref="L23:O23"/>
    <mergeCell ref="P23:S23"/>
    <mergeCell ref="T23:W23"/>
    <mergeCell ref="X23:AA23"/>
    <mergeCell ref="AB23:AE23"/>
    <mergeCell ref="AF23:AI23"/>
    <mergeCell ref="AJ23:AM23"/>
    <mergeCell ref="AN23:AQ23"/>
    <mergeCell ref="AR23:AU23"/>
    <mergeCell ref="AV23:AY23"/>
    <mergeCell ref="D24:G24"/>
    <mergeCell ref="H24:K24"/>
    <mergeCell ref="L24:O24"/>
    <mergeCell ref="P24:S24"/>
    <mergeCell ref="T24:W24"/>
    <mergeCell ref="X24:AA24"/>
    <mergeCell ref="AB24:AE24"/>
    <mergeCell ref="AF24:AI24"/>
    <mergeCell ref="AJ24:AM24"/>
    <mergeCell ref="AN24:AQ24"/>
    <mergeCell ref="AR24:AU24"/>
    <mergeCell ref="AV24:AY24"/>
    <mergeCell ref="D25:G25"/>
    <mergeCell ref="H25:K25"/>
    <mergeCell ref="L25:O25"/>
    <mergeCell ref="P25:S25"/>
    <mergeCell ref="T25:W25"/>
    <mergeCell ref="X25:AA25"/>
    <mergeCell ref="AB25:AE25"/>
    <mergeCell ref="AF25:AI25"/>
    <mergeCell ref="AJ25:AM25"/>
    <mergeCell ref="AN25:AQ25"/>
    <mergeCell ref="AR25:AU25"/>
    <mergeCell ref="AV25:AY25"/>
    <mergeCell ref="A26:C26"/>
    <mergeCell ref="D26:G26"/>
    <mergeCell ref="H26:K26"/>
    <mergeCell ref="L26:O26"/>
    <mergeCell ref="P26:S26"/>
    <mergeCell ref="T26:W26"/>
    <mergeCell ref="X26:AA26"/>
    <mergeCell ref="AB26:AE26"/>
    <mergeCell ref="AF26:AI26"/>
    <mergeCell ref="AJ26:AM26"/>
    <mergeCell ref="AN26:AQ26"/>
    <mergeCell ref="AR26:AU26"/>
    <mergeCell ref="AV26:AY26"/>
    <mergeCell ref="A27:T27"/>
    <mergeCell ref="AZ28:BA28"/>
    <mergeCell ref="AZ29:BA29"/>
    <mergeCell ref="AZ30:BA30"/>
    <mergeCell ref="A33:AA33"/>
    <mergeCell ref="A34:C34"/>
    <mergeCell ref="D34:G34"/>
    <mergeCell ref="H34:K34"/>
    <mergeCell ref="L34:O34"/>
    <mergeCell ref="P34:S34"/>
    <mergeCell ref="T34:W34"/>
    <mergeCell ref="X34:AA34"/>
    <mergeCell ref="A35:C35"/>
    <mergeCell ref="D35:G35"/>
    <mergeCell ref="H35:K35"/>
    <mergeCell ref="L35:O35"/>
    <mergeCell ref="P35:S35"/>
    <mergeCell ref="T35:W35"/>
    <mergeCell ref="X35:AA35"/>
    <mergeCell ref="A36:C36"/>
    <mergeCell ref="D36:G36"/>
    <mergeCell ref="H36:K36"/>
    <mergeCell ref="L36:O36"/>
    <mergeCell ref="P36:S36"/>
    <mergeCell ref="T36:W36"/>
    <mergeCell ref="X36:AA36"/>
    <mergeCell ref="A40:G40"/>
    <mergeCell ref="A41:C41"/>
    <mergeCell ref="D41:G41"/>
    <mergeCell ref="H41:K41"/>
    <mergeCell ref="L41:O41"/>
    <mergeCell ref="P41:S41"/>
    <mergeCell ref="T41:W41"/>
    <mergeCell ref="X41:AA41"/>
    <mergeCell ref="AB41:AE41"/>
    <mergeCell ref="AF41:AI41"/>
    <mergeCell ref="AJ41:AM41"/>
    <mergeCell ref="AN41:AQ41"/>
    <mergeCell ref="AR41:AU41"/>
    <mergeCell ref="AV41:AY41"/>
    <mergeCell ref="A42:C42"/>
    <mergeCell ref="D42:G42"/>
    <mergeCell ref="H42:K42"/>
    <mergeCell ref="L42:O42"/>
    <mergeCell ref="P42:S42"/>
    <mergeCell ref="T42:W42"/>
    <mergeCell ref="X42:AA42"/>
    <mergeCell ref="AB42:AE42"/>
    <mergeCell ref="AF42:AI42"/>
    <mergeCell ref="AJ42:AM42"/>
    <mergeCell ref="AN42:AQ42"/>
    <mergeCell ref="AR42:AU42"/>
    <mergeCell ref="AV42:AY42"/>
    <mergeCell ref="A43:C43"/>
    <mergeCell ref="D43:G43"/>
    <mergeCell ref="H43:K43"/>
    <mergeCell ref="L43:O43"/>
    <mergeCell ref="P43:S43"/>
    <mergeCell ref="T43:W43"/>
    <mergeCell ref="X43:AA43"/>
    <mergeCell ref="AB43:AE43"/>
    <mergeCell ref="AF43:AI43"/>
    <mergeCell ref="AJ43:AM43"/>
    <mergeCell ref="AN43:AQ43"/>
    <mergeCell ref="AR43:AU43"/>
    <mergeCell ref="AV43:AY43"/>
    <mergeCell ref="A44:C44"/>
    <mergeCell ref="D44:G44"/>
    <mergeCell ref="H44:K44"/>
    <mergeCell ref="L44:O44"/>
    <mergeCell ref="P44:S44"/>
    <mergeCell ref="T44:W44"/>
    <mergeCell ref="X44:AA44"/>
    <mergeCell ref="AB44:AE44"/>
    <mergeCell ref="AF44:AI44"/>
    <mergeCell ref="AJ44:AM44"/>
    <mergeCell ref="AN44:AQ44"/>
    <mergeCell ref="AR44:AU44"/>
    <mergeCell ref="AV44:AY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30"/>
    <col collapsed="false" customWidth="true" hidden="false" outlineLevel="0" max="4" min="4" style="1" width="22"/>
    <col collapsed="false" customWidth="true" hidden="false" outlineLevel="0" max="7" min="5" style="1" width="16"/>
  </cols>
  <sheetData>
    <row r="4" customFormat="false" ht="23.25" hidden="false" customHeight="true" outlineLevel="0" collapsed="false">
      <c r="A4" s="45" t="s">
        <v>134</v>
      </c>
    </row>
    <row r="5" customFormat="false" ht="15" hidden="false" customHeight="true" outlineLevel="0" collapsed="false">
      <c r="B5" s="16" t="s">
        <v>102</v>
      </c>
      <c r="C5" s="16" t="s">
        <v>103</v>
      </c>
      <c r="D5" s="16" t="s">
        <v>25</v>
      </c>
    </row>
    <row r="6" customFormat="false" ht="15" hidden="false" customHeight="true" outlineLevel="0" collapsed="false">
      <c r="B6" s="22" t="s">
        <v>104</v>
      </c>
      <c r="C6" s="46" t="s">
        <v>105</v>
      </c>
      <c r="D6" s="47"/>
    </row>
    <row r="7" customFormat="false" ht="15" hidden="false" customHeight="true" outlineLevel="0" collapsed="false">
      <c r="B7" s="22" t="s">
        <v>106</v>
      </c>
      <c r="C7" s="48" t="n">
        <f aca="false">'Module 3 During-Disaster Integr'!$BB$28</f>
        <v>1487808</v>
      </c>
      <c r="D7" s="47"/>
    </row>
    <row r="8" customFormat="false" ht="23.25" hidden="false" customHeight="true" outlineLevel="0" collapsed="false">
      <c r="B8" s="22" t="s">
        <v>107</v>
      </c>
      <c r="C8" s="49" t="n">
        <f aca="false">C7*0.15</f>
        <v>223171.2</v>
      </c>
      <c r="D8" s="47"/>
    </row>
    <row r="9" customFormat="false" ht="15" hidden="false" customHeight="true" outlineLevel="0" collapsed="false">
      <c r="B9" s="38" t="s">
        <v>108</v>
      </c>
      <c r="C9" s="50" t="n">
        <f aca="false">C7+C8</f>
        <v>1710979.2</v>
      </c>
      <c r="D9" s="47"/>
    </row>
    <row r="10" customFormat="false" ht="15" hidden="false" customHeight="true" outlineLevel="0" collapsed="false">
      <c r="B10" s="47"/>
      <c r="C10" s="47"/>
      <c r="D10" s="47"/>
    </row>
    <row r="11" customFormat="false" ht="23.25" hidden="false" customHeight="true" outlineLevel="0" collapsed="false">
      <c r="B11" s="22" t="s">
        <v>109</v>
      </c>
      <c r="C11" s="12" t="n">
        <v>1539881</v>
      </c>
      <c r="D11" s="51"/>
    </row>
    <row r="12" customFormat="false" ht="23.25" hidden="false" customHeight="true" outlineLevel="0" collapsed="false">
      <c r="B12" s="38" t="s">
        <v>135</v>
      </c>
      <c r="C12" s="13" t="n">
        <f aca="false">C11</f>
        <v>1539881</v>
      </c>
      <c r="D12" s="51"/>
    </row>
    <row r="13" customFormat="false" ht="33.75" hidden="false" customHeight="true" outlineLevel="0" collapsed="false">
      <c r="B13" s="38" t="s">
        <v>110</v>
      </c>
      <c r="C13" s="13" t="n">
        <f aca="false">C12*0.185</f>
        <v>284877.985</v>
      </c>
      <c r="D13" s="51"/>
    </row>
    <row r="16" customFormat="false" ht="15" hidden="false" customHeight="true" outlineLevel="0" collapsed="false">
      <c r="B16" s="22" t="s">
        <v>111</v>
      </c>
      <c r="C16" s="48" t="n">
        <f aca="false">'Cloud Infra Estimate'!$G$15</f>
        <v>463986</v>
      </c>
      <c r="D16" s="47"/>
    </row>
    <row r="17" customFormat="false" ht="30" hidden="false" customHeight="true" outlineLevel="0" collapsed="false">
      <c r="B17" s="22" t="s">
        <v>112</v>
      </c>
      <c r="C17" s="49" t="n">
        <f aca="false">C16</f>
        <v>463986</v>
      </c>
      <c r="D17" s="47"/>
    </row>
    <row r="21" customFormat="false" ht="15" hidden="false" customHeight="true" outlineLevel="0" collapsed="false">
      <c r="B21" s="52" t="s">
        <v>113</v>
      </c>
    </row>
    <row r="23" customFormat="false" ht="15" hidden="false" customHeight="true" outlineLevel="0" collapsed="false">
      <c r="B23" s="53" t="s">
        <v>114</v>
      </c>
      <c r="C23" s="53" t="s">
        <v>115</v>
      </c>
      <c r="D23" s="53" t="s">
        <v>116</v>
      </c>
      <c r="E23" s="53" t="s">
        <v>117</v>
      </c>
      <c r="F23" s="53" t="s">
        <v>118</v>
      </c>
      <c r="G23" s="53" t="s">
        <v>96</v>
      </c>
    </row>
    <row r="24" customFormat="false" ht="23.25" hidden="false" customHeight="true" outlineLevel="0" collapsed="false">
      <c r="B24" s="54" t="s">
        <v>119</v>
      </c>
      <c r="C24" s="55" t="s">
        <v>120</v>
      </c>
      <c r="D24" s="56" t="n">
        <f aca="false">C12</f>
        <v>1539881</v>
      </c>
      <c r="E24" s="56"/>
      <c r="F24" s="56"/>
      <c r="G24" s="56" t="n">
        <f aca="false">D24</f>
        <v>1539881</v>
      </c>
    </row>
    <row r="25" customFormat="false" ht="15" hidden="false" customHeight="true" outlineLevel="0" collapsed="false">
      <c r="B25" s="54"/>
      <c r="C25" s="55" t="s">
        <v>110</v>
      </c>
      <c r="D25" s="56" t="n">
        <f aca="false">C13*0.5</f>
        <v>142438.9925</v>
      </c>
      <c r="E25" s="56" t="n">
        <f aca="false">C13</f>
        <v>284877.985</v>
      </c>
      <c r="F25" s="56" t="n">
        <f aca="false">C13</f>
        <v>284877.985</v>
      </c>
      <c r="G25" s="56" t="n">
        <f aca="false">SUM(D25:F25)</f>
        <v>712194.9625</v>
      </c>
    </row>
    <row r="26" customFormat="false" ht="15" hidden="false" customHeight="true" outlineLevel="0" collapsed="false">
      <c r="B26" s="54"/>
      <c r="C26" s="54" t="s">
        <v>96</v>
      </c>
      <c r="D26" s="57" t="n">
        <f aca="false">D24+D25</f>
        <v>1682319.9925</v>
      </c>
      <c r="E26" s="57" t="n">
        <f aca="false">E25</f>
        <v>284877.985</v>
      </c>
      <c r="F26" s="57" t="n">
        <f aca="false">F25</f>
        <v>284877.985</v>
      </c>
      <c r="G26" s="57" t="n">
        <f aca="false">D24*0.275</f>
        <v>423467.275</v>
      </c>
    </row>
    <row r="27" customFormat="false" ht="15" hidden="false" customHeight="true" outlineLevel="0" collapsed="false">
      <c r="B27" s="54" t="s">
        <v>121</v>
      </c>
      <c r="C27" s="55" t="s">
        <v>122</v>
      </c>
      <c r="D27" s="56" t="n">
        <f aca="false">'Cloud Infra Estimate'!$F$15</f>
        <v>353500</v>
      </c>
      <c r="E27" s="56" t="n">
        <f aca="false">'Cloud Infra Estimate'!$F$15</f>
        <v>353500</v>
      </c>
      <c r="F27" s="56" t="n">
        <f aca="false">'Cloud Infra Estimate'!$F$15</f>
        <v>353500</v>
      </c>
      <c r="G27" s="56" t="n">
        <f aca="false">SUM(D27:F27)</f>
        <v>1060500</v>
      </c>
    </row>
    <row r="28" customFormat="false" ht="15" hidden="false" customHeight="true" outlineLevel="0" collapsed="false">
      <c r="B28" s="54"/>
      <c r="C28" s="54" t="s">
        <v>96</v>
      </c>
      <c r="D28" s="57" t="n">
        <f aca="false">D27</f>
        <v>353500</v>
      </c>
      <c r="E28" s="57" t="n">
        <f aca="false">E27</f>
        <v>353500</v>
      </c>
      <c r="F28" s="57" t="n">
        <f aca="false">F27</f>
        <v>353500</v>
      </c>
      <c r="G28" s="57" t="n">
        <f aca="false">SUM(D28:F28)</f>
        <v>1060500</v>
      </c>
    </row>
    <row r="29" customFormat="false" ht="15" hidden="false" customHeight="true" outlineLevel="0" collapsed="false">
      <c r="B29" s="58" t="s">
        <v>123</v>
      </c>
      <c r="C29" s="58"/>
      <c r="D29" s="59" t="n">
        <f aca="false">D26+D28</f>
        <v>2035819.9925</v>
      </c>
      <c r="E29" s="59" t="n">
        <f aca="false">E26+E28</f>
        <v>638377.985</v>
      </c>
      <c r="F29" s="59" t="n">
        <f aca="false">F26+F28</f>
        <v>638377.985</v>
      </c>
      <c r="G29" s="59" t="n">
        <f aca="false">G26+G28</f>
        <v>1483967.275</v>
      </c>
    </row>
  </sheetData>
  <mergeCells count="3">
    <mergeCell ref="B24:B26"/>
    <mergeCell ref="B27:B28"/>
    <mergeCell ref="B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3"/>
    <col collapsed="false" customWidth="true" hidden="false" outlineLevel="0" max="3" min="3" style="1" width="11"/>
    <col collapsed="false" customWidth="true" hidden="false" outlineLevel="0" max="51" min="4" style="1" width="3.3"/>
    <col collapsed="false" customWidth="true" hidden="false" outlineLevel="0" max="52" min="52" style="1" width="11"/>
    <col collapsed="false" customWidth="true" hidden="false" outlineLevel="0" max="53" min="53" style="1" width="9"/>
    <col collapsed="false" customWidth="true" hidden="false" outlineLevel="0" max="54" min="54" style="1" width="14"/>
  </cols>
  <sheetData>
    <row r="1" customFormat="false" ht="15" hidden="false" customHeight="true" outlineLevel="0" collapsed="false">
      <c r="A1" s="16" t="s">
        <v>44</v>
      </c>
      <c r="B1" s="16"/>
      <c r="C1" s="16"/>
      <c r="D1" s="16" t="s">
        <v>45</v>
      </c>
      <c r="E1" s="16"/>
      <c r="F1" s="16"/>
      <c r="G1" s="16"/>
      <c r="H1" s="16" t="s">
        <v>46</v>
      </c>
      <c r="I1" s="16"/>
      <c r="J1" s="16"/>
      <c r="K1" s="16"/>
      <c r="L1" s="16" t="s">
        <v>47</v>
      </c>
      <c r="M1" s="16"/>
      <c r="N1" s="16"/>
      <c r="O1" s="16"/>
      <c r="P1" s="16" t="s">
        <v>48</v>
      </c>
      <c r="Q1" s="16"/>
      <c r="R1" s="16"/>
      <c r="S1" s="16"/>
      <c r="T1" s="16" t="s">
        <v>49</v>
      </c>
      <c r="U1" s="16"/>
      <c r="V1" s="16"/>
      <c r="W1" s="16"/>
      <c r="X1" s="16" t="s">
        <v>50</v>
      </c>
      <c r="Y1" s="16"/>
      <c r="Z1" s="16"/>
      <c r="AA1" s="16"/>
      <c r="AB1" s="16" t="s">
        <v>51</v>
      </c>
      <c r="AC1" s="16"/>
      <c r="AD1" s="16"/>
      <c r="AE1" s="16"/>
      <c r="AF1" s="16" t="s">
        <v>52</v>
      </c>
      <c r="AG1" s="16"/>
      <c r="AH1" s="16"/>
      <c r="AI1" s="16"/>
      <c r="AJ1" s="16" t="s">
        <v>53</v>
      </c>
      <c r="AK1" s="16"/>
      <c r="AL1" s="16"/>
      <c r="AM1" s="16"/>
      <c r="AN1" s="16" t="s">
        <v>54</v>
      </c>
      <c r="AO1" s="16"/>
      <c r="AP1" s="16"/>
      <c r="AQ1" s="16"/>
      <c r="AR1" s="16" t="s">
        <v>55</v>
      </c>
      <c r="AS1" s="16"/>
      <c r="AT1" s="16"/>
      <c r="AU1" s="16"/>
      <c r="AV1" s="16" t="s">
        <v>56</v>
      </c>
      <c r="AW1" s="16"/>
      <c r="AX1" s="16"/>
      <c r="AY1" s="16"/>
    </row>
    <row r="2" customFormat="false" ht="15.75" hidden="false" customHeight="true" outlineLevel="0" collapsed="false">
      <c r="A2" s="2" t="s">
        <v>124</v>
      </c>
      <c r="B2" s="2"/>
      <c r="C2" s="2"/>
      <c r="D2" s="17"/>
      <c r="E2" s="17"/>
      <c r="F2" s="17"/>
      <c r="G2" s="17"/>
    </row>
    <row r="3" customFormat="false" ht="15.75" hidden="false" customHeight="true" outlineLevel="0" collapsed="false">
      <c r="A3" s="2" t="s">
        <v>125</v>
      </c>
      <c r="B3" s="2"/>
      <c r="C3" s="2"/>
      <c r="H3" s="18"/>
      <c r="I3" s="18"/>
      <c r="J3" s="18"/>
      <c r="K3" s="18"/>
    </row>
    <row r="4" customFormat="false" ht="15.75" hidden="false" customHeight="true" outlineLevel="0" collapsed="false">
      <c r="A4" s="2" t="s">
        <v>126</v>
      </c>
      <c r="B4" s="2"/>
      <c r="C4" s="2"/>
      <c r="L4" s="60"/>
      <c r="M4" s="60"/>
      <c r="N4" s="60"/>
      <c r="O4" s="60"/>
    </row>
    <row r="5" customFormat="false" ht="15.75" hidden="false" customHeight="true" outlineLevel="0" collapsed="false">
      <c r="A5" s="2" t="s">
        <v>127</v>
      </c>
      <c r="B5" s="2"/>
      <c r="C5" s="2"/>
      <c r="P5" s="19"/>
      <c r="Q5" s="19"/>
      <c r="R5" s="19"/>
      <c r="S5" s="19"/>
      <c r="T5" s="19"/>
      <c r="U5" s="19"/>
      <c r="V5" s="19"/>
      <c r="W5" s="19"/>
      <c r="X5" s="19"/>
      <c r="Y5" s="19"/>
      <c r="Z5" s="19"/>
      <c r="AA5" s="19"/>
      <c r="AB5" s="19"/>
      <c r="AC5" s="19"/>
      <c r="AD5" s="19"/>
      <c r="AE5" s="19"/>
      <c r="AF5" s="19"/>
      <c r="AG5" s="19"/>
      <c r="AH5" s="19"/>
      <c r="AI5" s="19"/>
      <c r="AJ5" s="19"/>
      <c r="AK5" s="19"/>
      <c r="AL5" s="19"/>
      <c r="AM5" s="19"/>
    </row>
    <row r="6" customFormat="false" ht="15.75" hidden="false" customHeight="true" outlineLevel="0" collapsed="false">
      <c r="A6" s="2" t="s">
        <v>128</v>
      </c>
      <c r="B6" s="2"/>
      <c r="C6" s="2"/>
      <c r="AJ6" s="20"/>
      <c r="AK6" s="20"/>
      <c r="AL6" s="20"/>
      <c r="AM6" s="20"/>
      <c r="AN6" s="20"/>
      <c r="AO6" s="20"/>
      <c r="AP6" s="20"/>
      <c r="AQ6" s="20"/>
      <c r="AR6" s="20"/>
      <c r="AS6" s="20"/>
      <c r="AT6" s="20"/>
      <c r="AU6" s="20"/>
    </row>
    <row r="7" customFormat="false" ht="15.75" hidden="false" customHeight="true" outlineLevel="0" collapsed="false">
      <c r="A7" s="2" t="s">
        <v>129</v>
      </c>
      <c r="B7" s="2"/>
      <c r="C7" s="2"/>
      <c r="AN7" s="21"/>
      <c r="AO7" s="21"/>
      <c r="AP7" s="21"/>
      <c r="AQ7" s="21"/>
      <c r="AR7" s="21"/>
      <c r="AS7" s="21"/>
      <c r="AT7" s="21"/>
      <c r="AU7" s="21"/>
    </row>
    <row r="8" customFormat="false" ht="15.75" hidden="false" customHeight="true" outlineLevel="0" collapsed="false">
      <c r="A8" s="2" t="s">
        <v>130</v>
      </c>
      <c r="B8" s="2"/>
      <c r="C8" s="2"/>
      <c r="AR8" s="61"/>
      <c r="AS8" s="61"/>
      <c r="AT8" s="61"/>
      <c r="AU8" s="61"/>
      <c r="AV8" s="61"/>
      <c r="AW8" s="61"/>
      <c r="AX8" s="61"/>
      <c r="AY8" s="61"/>
    </row>
    <row r="11" customFormat="false" ht="25.5" hidden="false" customHeight="true" outlineLevel="0" collapsed="false">
      <c r="A11" s="16" t="s">
        <v>63</v>
      </c>
      <c r="B11" s="16" t="s">
        <v>4</v>
      </c>
      <c r="C11" s="16" t="s">
        <v>64</v>
      </c>
      <c r="D11" s="16" t="s">
        <v>45</v>
      </c>
      <c r="E11" s="16"/>
      <c r="F11" s="16"/>
      <c r="G11" s="16"/>
      <c r="H11" s="16" t="s">
        <v>46</v>
      </c>
      <c r="I11" s="16"/>
      <c r="J11" s="16"/>
      <c r="K11" s="16"/>
      <c r="L11" s="16" t="s">
        <v>47</v>
      </c>
      <c r="M11" s="16"/>
      <c r="N11" s="16"/>
      <c r="O11" s="16"/>
      <c r="P11" s="16" t="s">
        <v>48</v>
      </c>
      <c r="Q11" s="16"/>
      <c r="R11" s="16"/>
      <c r="S11" s="16"/>
      <c r="T11" s="16" t="s">
        <v>49</v>
      </c>
      <c r="U11" s="16"/>
      <c r="V11" s="16"/>
      <c r="W11" s="16"/>
      <c r="X11" s="16" t="s">
        <v>50</v>
      </c>
      <c r="Y11" s="16"/>
      <c r="Z11" s="16"/>
      <c r="AA11" s="16"/>
      <c r="AB11" s="16" t="s">
        <v>51</v>
      </c>
      <c r="AC11" s="16"/>
      <c r="AD11" s="16"/>
      <c r="AE11" s="16"/>
      <c r="AF11" s="16" t="s">
        <v>52</v>
      </c>
      <c r="AG11" s="16"/>
      <c r="AH11" s="16"/>
      <c r="AI11" s="16"/>
      <c r="AJ11" s="16" t="s">
        <v>53</v>
      </c>
      <c r="AK11" s="16"/>
      <c r="AL11" s="16"/>
      <c r="AM11" s="16"/>
      <c r="AN11" s="16" t="s">
        <v>54</v>
      </c>
      <c r="AO11" s="16"/>
      <c r="AP11" s="16"/>
      <c r="AQ11" s="16"/>
      <c r="AR11" s="16" t="s">
        <v>55</v>
      </c>
      <c r="AS11" s="16"/>
      <c r="AT11" s="16"/>
      <c r="AU11" s="16"/>
      <c r="AV11" s="16" t="s">
        <v>56</v>
      </c>
      <c r="AW11" s="16"/>
      <c r="AX11" s="16"/>
      <c r="AY11" s="16"/>
      <c r="AZ11" s="16" t="s">
        <v>65</v>
      </c>
      <c r="BA11" s="16" t="s">
        <v>66</v>
      </c>
      <c r="BB11" s="16" t="s">
        <v>67</v>
      </c>
    </row>
    <row r="12" customFormat="false" ht="15" hidden="false" customHeight="true" outlineLevel="0" collapsed="false">
      <c r="A12" s="22" t="s">
        <v>22</v>
      </c>
      <c r="B12" s="23" t="s">
        <v>5</v>
      </c>
      <c r="C12" s="22" t="s">
        <v>68</v>
      </c>
      <c r="D12" s="24" t="n">
        <v>0.5</v>
      </c>
      <c r="E12" s="24"/>
      <c r="F12" s="24"/>
      <c r="G12" s="24"/>
      <c r="H12" s="24" t="n">
        <v>0.5</v>
      </c>
      <c r="I12" s="24"/>
      <c r="J12" s="24"/>
      <c r="K12" s="24"/>
      <c r="L12" s="24" t="n">
        <v>0.5</v>
      </c>
      <c r="M12" s="24"/>
      <c r="N12" s="24"/>
      <c r="O12" s="24"/>
      <c r="P12" s="24" t="n">
        <v>0.2</v>
      </c>
      <c r="Q12" s="24"/>
      <c r="R12" s="24"/>
      <c r="S12" s="24"/>
      <c r="T12" s="24" t="n">
        <v>0.2</v>
      </c>
      <c r="U12" s="24"/>
      <c r="V12" s="24"/>
      <c r="W12" s="24"/>
      <c r="X12" s="24" t="n">
        <v>0.2</v>
      </c>
      <c r="Y12" s="24"/>
      <c r="Z12" s="24"/>
      <c r="AA12" s="24"/>
      <c r="AB12" s="24" t="n">
        <v>0.2</v>
      </c>
      <c r="AC12" s="24"/>
      <c r="AD12" s="24"/>
      <c r="AE12" s="24"/>
      <c r="AF12" s="24" t="n">
        <v>0.2</v>
      </c>
      <c r="AG12" s="24"/>
      <c r="AH12" s="24"/>
      <c r="AI12" s="24"/>
      <c r="AJ12" s="24" t="n">
        <v>0.2</v>
      </c>
      <c r="AK12" s="24"/>
      <c r="AL12" s="24"/>
      <c r="AM12" s="24"/>
      <c r="AN12" s="24" t="n">
        <v>0.2</v>
      </c>
      <c r="AO12" s="24"/>
      <c r="AP12" s="24"/>
      <c r="AQ12" s="24"/>
      <c r="AR12" s="24" t="n">
        <v>0.2</v>
      </c>
      <c r="AS12" s="24"/>
      <c r="AT12" s="24"/>
      <c r="AU12" s="24"/>
      <c r="AV12" s="24" t="n">
        <v>0.2</v>
      </c>
      <c r="AW12" s="24"/>
      <c r="AX12" s="24"/>
      <c r="AY12" s="24"/>
      <c r="AZ12" s="25" t="n">
        <f aca="false">SUM(D12:AY12)</f>
        <v>3.3</v>
      </c>
      <c r="BA12" s="26" t="n">
        <v>40</v>
      </c>
      <c r="BB12" s="27" t="n">
        <f aca="false">AZ12*BA12*$BB$30</f>
        <v>22176</v>
      </c>
    </row>
    <row r="13" customFormat="false" ht="15" hidden="false" customHeight="true" outlineLevel="0" collapsed="false">
      <c r="A13" s="22" t="s">
        <v>69</v>
      </c>
      <c r="B13" s="23" t="s">
        <v>5</v>
      </c>
      <c r="C13" s="22" t="s">
        <v>68</v>
      </c>
      <c r="D13" s="24" t="n">
        <v>0.7</v>
      </c>
      <c r="E13" s="24"/>
      <c r="F13" s="24"/>
      <c r="G13" s="24"/>
      <c r="H13" s="24" t="n">
        <v>0.7</v>
      </c>
      <c r="I13" s="24"/>
      <c r="J13" s="24"/>
      <c r="K13" s="24"/>
      <c r="L13" s="24" t="n">
        <v>0.7</v>
      </c>
      <c r="M13" s="24"/>
      <c r="N13" s="24"/>
      <c r="O13" s="24"/>
      <c r="P13" s="24" t="n">
        <v>0.7</v>
      </c>
      <c r="Q13" s="24"/>
      <c r="R13" s="24"/>
      <c r="S13" s="24"/>
      <c r="T13" s="24" t="n">
        <v>0.7</v>
      </c>
      <c r="U13" s="24"/>
      <c r="V13" s="24"/>
      <c r="W13" s="24"/>
      <c r="X13" s="24" t="n">
        <v>0.5</v>
      </c>
      <c r="Y13" s="24"/>
      <c r="Z13" s="24"/>
      <c r="AA13" s="24"/>
      <c r="AB13" s="24" t="n">
        <v>0.5</v>
      </c>
      <c r="AC13" s="24"/>
      <c r="AD13" s="24"/>
      <c r="AE13" s="24"/>
      <c r="AF13" s="24" t="n">
        <v>0.5</v>
      </c>
      <c r="AG13" s="24"/>
      <c r="AH13" s="24"/>
      <c r="AI13" s="24"/>
      <c r="AJ13" s="24" t="n">
        <v>0.5</v>
      </c>
      <c r="AK13" s="24"/>
      <c r="AL13" s="24"/>
      <c r="AM13" s="24"/>
      <c r="AN13" s="24" t="n">
        <v>0.5</v>
      </c>
      <c r="AO13" s="24"/>
      <c r="AP13" s="24"/>
      <c r="AQ13" s="24"/>
      <c r="AR13" s="24" t="n">
        <v>0.5</v>
      </c>
      <c r="AS13" s="24"/>
      <c r="AT13" s="24"/>
      <c r="AU13" s="24"/>
      <c r="AV13" s="24" t="n">
        <v>0.5</v>
      </c>
      <c r="AW13" s="24"/>
      <c r="AX13" s="24"/>
      <c r="AY13" s="24"/>
      <c r="AZ13" s="25" t="n">
        <f aca="false">SUM(D13:AY13)</f>
        <v>7</v>
      </c>
      <c r="BA13" s="26" t="n">
        <v>40</v>
      </c>
      <c r="BB13" s="27" t="n">
        <f aca="false">AZ13*BA13*$BB$30</f>
        <v>47040</v>
      </c>
    </row>
    <row r="14" customFormat="false" ht="15" hidden="false" customHeight="true" outlineLevel="0" collapsed="false">
      <c r="A14" s="22" t="s">
        <v>70</v>
      </c>
      <c r="B14" s="23" t="s">
        <v>5</v>
      </c>
      <c r="C14" s="22" t="s">
        <v>68</v>
      </c>
      <c r="D14" s="24" t="n">
        <v>1</v>
      </c>
      <c r="E14" s="24"/>
      <c r="F14" s="24"/>
      <c r="G14" s="24"/>
      <c r="H14" s="24" t="n">
        <v>1</v>
      </c>
      <c r="I14" s="24"/>
      <c r="J14" s="24"/>
      <c r="K14" s="24"/>
      <c r="L14" s="24" t="n">
        <v>1</v>
      </c>
      <c r="M14" s="24"/>
      <c r="N14" s="24"/>
      <c r="O14" s="24"/>
      <c r="P14" s="24" t="n">
        <v>1</v>
      </c>
      <c r="Q14" s="24"/>
      <c r="R14" s="24"/>
      <c r="S14" s="24"/>
      <c r="T14" s="24" t="n">
        <v>1</v>
      </c>
      <c r="U14" s="24"/>
      <c r="V14" s="24"/>
      <c r="W14" s="24"/>
      <c r="X14" s="24" t="n">
        <v>1</v>
      </c>
      <c r="Y14" s="24"/>
      <c r="Z14" s="24"/>
      <c r="AA14" s="24"/>
      <c r="AB14" s="24" t="n">
        <v>1</v>
      </c>
      <c r="AC14" s="24"/>
      <c r="AD14" s="24"/>
      <c r="AE14" s="24"/>
      <c r="AF14" s="24" t="n">
        <v>1</v>
      </c>
      <c r="AG14" s="24"/>
      <c r="AH14" s="24"/>
      <c r="AI14" s="24"/>
      <c r="AJ14" s="24" t="n">
        <v>1</v>
      </c>
      <c r="AK14" s="24"/>
      <c r="AL14" s="24"/>
      <c r="AM14" s="24"/>
      <c r="AN14" s="24" t="n">
        <v>1</v>
      </c>
      <c r="AO14" s="24"/>
      <c r="AP14" s="24"/>
      <c r="AQ14" s="24"/>
      <c r="AR14" s="24" t="n">
        <v>1</v>
      </c>
      <c r="AS14" s="24"/>
      <c r="AT14" s="24"/>
      <c r="AU14" s="24"/>
      <c r="AV14" s="24" t="n">
        <v>1</v>
      </c>
      <c r="AW14" s="24"/>
      <c r="AX14" s="24"/>
      <c r="AY14" s="24"/>
      <c r="AZ14" s="25" t="n">
        <f aca="false">SUM(D14:AY14)</f>
        <v>12</v>
      </c>
      <c r="BA14" s="26" t="n">
        <v>40</v>
      </c>
      <c r="BB14" s="27" t="n">
        <f aca="false">AZ14*BA14*$BB$30</f>
        <v>80640</v>
      </c>
    </row>
    <row r="15" customFormat="false" ht="15" hidden="false" customHeight="true" outlineLevel="0" collapsed="false">
      <c r="A15" s="22" t="s">
        <v>71</v>
      </c>
      <c r="B15" s="23" t="s">
        <v>5</v>
      </c>
      <c r="C15" s="22" t="s">
        <v>68</v>
      </c>
      <c r="D15" s="24" t="n">
        <v>1</v>
      </c>
      <c r="E15" s="24"/>
      <c r="F15" s="24"/>
      <c r="G15" s="24"/>
      <c r="H15" s="24" t="n">
        <v>1</v>
      </c>
      <c r="I15" s="24"/>
      <c r="J15" s="24"/>
      <c r="K15" s="24"/>
      <c r="L15" s="24" t="n">
        <v>1</v>
      </c>
      <c r="M15" s="24"/>
      <c r="N15" s="24"/>
      <c r="O15" s="24"/>
      <c r="P15" s="24" t="n">
        <v>1</v>
      </c>
      <c r="Q15" s="24"/>
      <c r="R15" s="24"/>
      <c r="S15" s="24"/>
      <c r="T15" s="24" t="n">
        <v>1</v>
      </c>
      <c r="U15" s="24"/>
      <c r="V15" s="24"/>
      <c r="W15" s="24"/>
      <c r="X15" s="24" t="n">
        <v>1</v>
      </c>
      <c r="Y15" s="24"/>
      <c r="Z15" s="24"/>
      <c r="AA15" s="24"/>
      <c r="AB15" s="24" t="n">
        <v>1</v>
      </c>
      <c r="AC15" s="24"/>
      <c r="AD15" s="24"/>
      <c r="AE15" s="24"/>
      <c r="AF15" s="24" t="n">
        <v>1</v>
      </c>
      <c r="AG15" s="24"/>
      <c r="AH15" s="24"/>
      <c r="AI15" s="24"/>
      <c r="AJ15" s="24" t="n">
        <v>1</v>
      </c>
      <c r="AK15" s="24"/>
      <c r="AL15" s="24"/>
      <c r="AM15" s="24"/>
      <c r="AN15" s="24" t="n">
        <v>1</v>
      </c>
      <c r="AO15" s="24"/>
      <c r="AP15" s="24"/>
      <c r="AQ15" s="24"/>
      <c r="AR15" s="24" t="n">
        <v>1</v>
      </c>
      <c r="AS15" s="24"/>
      <c r="AT15" s="24"/>
      <c r="AU15" s="24"/>
      <c r="AV15" s="24" t="n">
        <v>1</v>
      </c>
      <c r="AW15" s="24"/>
      <c r="AX15" s="24"/>
      <c r="AY15" s="24"/>
      <c r="AZ15" s="25" t="n">
        <f aca="false">SUM(D15:AY15)</f>
        <v>12</v>
      </c>
      <c r="BA15" s="26" t="n">
        <v>40</v>
      </c>
      <c r="BB15" s="27" t="n">
        <f aca="false">AZ15*BA15*$BB$30</f>
        <v>80640</v>
      </c>
    </row>
    <row r="16" customFormat="false" ht="15" hidden="false" customHeight="true" outlineLevel="0" collapsed="false">
      <c r="A16" s="22" t="s">
        <v>72</v>
      </c>
      <c r="B16" s="23" t="s">
        <v>5</v>
      </c>
      <c r="C16" s="22" t="s">
        <v>68</v>
      </c>
      <c r="D16" s="24"/>
      <c r="E16" s="24"/>
      <c r="F16" s="24"/>
      <c r="G16" s="24"/>
      <c r="H16" s="24"/>
      <c r="I16" s="24"/>
      <c r="J16" s="24"/>
      <c r="K16" s="24"/>
      <c r="L16" s="24"/>
      <c r="M16" s="24"/>
      <c r="N16" s="24"/>
      <c r="O16" s="24"/>
      <c r="P16" s="24" t="n">
        <v>1</v>
      </c>
      <c r="Q16" s="24"/>
      <c r="R16" s="24"/>
      <c r="S16" s="24"/>
      <c r="T16" s="24" t="n">
        <v>1</v>
      </c>
      <c r="U16" s="24"/>
      <c r="V16" s="24"/>
      <c r="W16" s="24"/>
      <c r="X16" s="24" t="n">
        <v>1</v>
      </c>
      <c r="Y16" s="24"/>
      <c r="Z16" s="24"/>
      <c r="AA16" s="24"/>
      <c r="AB16" s="24" t="n">
        <v>1</v>
      </c>
      <c r="AC16" s="24"/>
      <c r="AD16" s="24"/>
      <c r="AE16" s="24"/>
      <c r="AF16" s="24" t="n">
        <v>1</v>
      </c>
      <c r="AG16" s="24"/>
      <c r="AH16" s="24"/>
      <c r="AI16" s="24"/>
      <c r="AJ16" s="24" t="n">
        <v>1</v>
      </c>
      <c r="AK16" s="24"/>
      <c r="AL16" s="24"/>
      <c r="AM16" s="24"/>
      <c r="AN16" s="24"/>
      <c r="AO16" s="24"/>
      <c r="AP16" s="24"/>
      <c r="AQ16" s="24"/>
      <c r="AR16" s="24"/>
      <c r="AS16" s="24"/>
      <c r="AT16" s="24"/>
      <c r="AU16" s="24"/>
      <c r="AV16" s="24"/>
      <c r="AW16" s="24"/>
      <c r="AX16" s="24"/>
      <c r="AY16" s="24"/>
      <c r="AZ16" s="25" t="n">
        <f aca="false">SUM(D16:AY16)</f>
        <v>6</v>
      </c>
      <c r="BA16" s="26" t="n">
        <v>40</v>
      </c>
      <c r="BB16" s="27" t="n">
        <f aca="false">AZ16*BA16*$BB$30</f>
        <v>40320</v>
      </c>
    </row>
    <row r="17" customFormat="false" ht="15" hidden="false" customHeight="true" outlineLevel="0" collapsed="false">
      <c r="A17" s="22" t="s">
        <v>73</v>
      </c>
      <c r="B17" s="23" t="s">
        <v>5</v>
      </c>
      <c r="C17" s="22" t="s">
        <v>68</v>
      </c>
      <c r="D17" s="24"/>
      <c r="E17" s="24"/>
      <c r="F17" s="24"/>
      <c r="G17" s="24"/>
      <c r="H17" s="24"/>
      <c r="I17" s="24"/>
      <c r="J17" s="24"/>
      <c r="K17" s="24"/>
      <c r="L17" s="24"/>
      <c r="M17" s="24"/>
      <c r="N17" s="24"/>
      <c r="O17" s="24"/>
      <c r="P17" s="24" t="n">
        <v>1</v>
      </c>
      <c r="Q17" s="24"/>
      <c r="R17" s="24"/>
      <c r="S17" s="24"/>
      <c r="T17" s="24" t="n">
        <v>1</v>
      </c>
      <c r="U17" s="24"/>
      <c r="V17" s="24"/>
      <c r="W17" s="24"/>
      <c r="X17" s="24" t="n">
        <v>1</v>
      </c>
      <c r="Y17" s="24"/>
      <c r="Z17" s="24"/>
      <c r="AA17" s="24"/>
      <c r="AB17" s="24" t="n">
        <v>1</v>
      </c>
      <c r="AC17" s="24"/>
      <c r="AD17" s="24"/>
      <c r="AE17" s="24"/>
      <c r="AF17" s="24" t="n">
        <v>1</v>
      </c>
      <c r="AG17" s="24"/>
      <c r="AH17" s="24"/>
      <c r="AI17" s="24"/>
      <c r="AJ17" s="24" t="n">
        <v>1</v>
      </c>
      <c r="AK17" s="24"/>
      <c r="AL17" s="24"/>
      <c r="AM17" s="24"/>
      <c r="AN17" s="24" t="n">
        <v>1</v>
      </c>
      <c r="AO17" s="24"/>
      <c r="AP17" s="24"/>
      <c r="AQ17" s="24"/>
      <c r="AR17" s="24" t="n">
        <v>1</v>
      </c>
      <c r="AS17" s="24"/>
      <c r="AT17" s="24"/>
      <c r="AU17" s="24"/>
      <c r="AV17" s="24" t="n">
        <v>1</v>
      </c>
      <c r="AW17" s="24"/>
      <c r="AX17" s="24"/>
      <c r="AY17" s="24"/>
      <c r="AZ17" s="25" t="n">
        <f aca="false">SUM(D17:AY17)</f>
        <v>9</v>
      </c>
      <c r="BA17" s="26" t="n">
        <v>40</v>
      </c>
      <c r="BB17" s="27" t="n">
        <f aca="false">AZ17*BA17*$BB$30</f>
        <v>60480</v>
      </c>
    </row>
    <row r="18" customFormat="false" ht="15" hidden="false" customHeight="true" outlineLevel="0" collapsed="false">
      <c r="A18" s="22" t="s">
        <v>74</v>
      </c>
      <c r="B18" s="23" t="s">
        <v>5</v>
      </c>
      <c r="C18" s="22" t="s">
        <v>68</v>
      </c>
      <c r="D18" s="24" t="n">
        <v>2</v>
      </c>
      <c r="E18" s="24"/>
      <c r="F18" s="24"/>
      <c r="G18" s="24"/>
      <c r="H18" s="24" t="n">
        <v>2</v>
      </c>
      <c r="I18" s="24"/>
      <c r="J18" s="24"/>
      <c r="K18" s="24"/>
      <c r="L18" s="24" t="n">
        <v>2</v>
      </c>
      <c r="M18" s="24"/>
      <c r="N18" s="24"/>
      <c r="O18" s="24"/>
      <c r="P18" s="24" t="n">
        <v>2</v>
      </c>
      <c r="Q18" s="24"/>
      <c r="R18" s="24"/>
      <c r="S18" s="24"/>
      <c r="T18" s="24" t="n">
        <v>2</v>
      </c>
      <c r="U18" s="24"/>
      <c r="V18" s="24"/>
      <c r="W18" s="24"/>
      <c r="X18" s="24" t="n">
        <v>2</v>
      </c>
      <c r="Y18" s="24"/>
      <c r="Z18" s="24"/>
      <c r="AA18" s="24"/>
      <c r="AB18" s="24" t="n">
        <v>2</v>
      </c>
      <c r="AC18" s="24"/>
      <c r="AD18" s="24"/>
      <c r="AE18" s="24"/>
      <c r="AF18" s="24" t="n">
        <v>2</v>
      </c>
      <c r="AG18" s="24"/>
      <c r="AH18" s="24"/>
      <c r="AI18" s="24"/>
      <c r="AJ18" s="24" t="n">
        <v>2</v>
      </c>
      <c r="AK18" s="24"/>
      <c r="AL18" s="24"/>
      <c r="AM18" s="24"/>
      <c r="AN18" s="24" t="n">
        <v>2</v>
      </c>
      <c r="AO18" s="24"/>
      <c r="AP18" s="24"/>
      <c r="AQ18" s="24"/>
      <c r="AR18" s="24" t="n">
        <v>2</v>
      </c>
      <c r="AS18" s="24"/>
      <c r="AT18" s="24"/>
      <c r="AU18" s="24"/>
      <c r="AV18" s="24" t="n">
        <v>2</v>
      </c>
      <c r="AW18" s="24"/>
      <c r="AX18" s="24"/>
      <c r="AY18" s="24"/>
      <c r="AZ18" s="25" t="n">
        <f aca="false">SUM(D18:AY18)</f>
        <v>24</v>
      </c>
      <c r="BA18" s="26" t="n">
        <v>40</v>
      </c>
      <c r="BB18" s="27" t="n">
        <f aca="false">AZ18*BA18*$BB$30</f>
        <v>161280</v>
      </c>
    </row>
    <row r="19" customFormat="false" ht="15" hidden="false" customHeight="true" outlineLevel="0" collapsed="false">
      <c r="A19" s="22" t="s">
        <v>75</v>
      </c>
      <c r="B19" s="23" t="s">
        <v>5</v>
      </c>
      <c r="C19" s="22" t="s">
        <v>68</v>
      </c>
      <c r="D19" s="24" t="n">
        <v>2</v>
      </c>
      <c r="E19" s="24"/>
      <c r="F19" s="24"/>
      <c r="G19" s="24"/>
      <c r="H19" s="24" t="n">
        <v>2</v>
      </c>
      <c r="I19" s="24"/>
      <c r="J19" s="24"/>
      <c r="K19" s="24"/>
      <c r="L19" s="24" t="n">
        <v>2</v>
      </c>
      <c r="M19" s="24"/>
      <c r="N19" s="24"/>
      <c r="O19" s="24"/>
      <c r="P19" s="24" t="n">
        <v>2</v>
      </c>
      <c r="Q19" s="24"/>
      <c r="R19" s="24"/>
      <c r="S19" s="24"/>
      <c r="T19" s="24" t="n">
        <v>2</v>
      </c>
      <c r="U19" s="24"/>
      <c r="V19" s="24"/>
      <c r="W19" s="24"/>
      <c r="X19" s="24" t="n">
        <v>2</v>
      </c>
      <c r="Y19" s="24"/>
      <c r="Z19" s="24"/>
      <c r="AA19" s="24"/>
      <c r="AB19" s="24" t="n">
        <v>2</v>
      </c>
      <c r="AC19" s="24"/>
      <c r="AD19" s="24"/>
      <c r="AE19" s="24"/>
      <c r="AF19" s="24" t="n">
        <v>2</v>
      </c>
      <c r="AG19" s="24"/>
      <c r="AH19" s="24"/>
      <c r="AI19" s="24"/>
      <c r="AJ19" s="24" t="n">
        <v>2</v>
      </c>
      <c r="AK19" s="24"/>
      <c r="AL19" s="24"/>
      <c r="AM19" s="24"/>
      <c r="AN19" s="24" t="n">
        <v>2</v>
      </c>
      <c r="AO19" s="24"/>
      <c r="AP19" s="24"/>
      <c r="AQ19" s="24"/>
      <c r="AR19" s="24" t="n">
        <v>2</v>
      </c>
      <c r="AS19" s="24"/>
      <c r="AT19" s="24"/>
      <c r="AU19" s="24"/>
      <c r="AV19" s="24" t="n">
        <v>2</v>
      </c>
      <c r="AW19" s="24"/>
      <c r="AX19" s="24"/>
      <c r="AY19" s="24"/>
      <c r="AZ19" s="25" t="n">
        <f aca="false">SUM(D19:AY19)</f>
        <v>24</v>
      </c>
      <c r="BA19" s="26" t="n">
        <v>40</v>
      </c>
      <c r="BB19" s="27" t="n">
        <f aca="false">AZ19*BA19*$BB$30</f>
        <v>161280</v>
      </c>
    </row>
    <row r="20" customFormat="false" ht="15" hidden="false" customHeight="true" outlineLevel="0" collapsed="false">
      <c r="A20" s="22" t="s">
        <v>76</v>
      </c>
      <c r="B20" s="23" t="s">
        <v>5</v>
      </c>
      <c r="C20" s="22" t="s">
        <v>68</v>
      </c>
      <c r="D20" s="24" t="n">
        <v>2</v>
      </c>
      <c r="E20" s="24"/>
      <c r="F20" s="24"/>
      <c r="G20" s="24"/>
      <c r="H20" s="24" t="n">
        <v>2</v>
      </c>
      <c r="I20" s="24"/>
      <c r="J20" s="24"/>
      <c r="K20" s="24"/>
      <c r="L20" s="24" t="n">
        <v>2</v>
      </c>
      <c r="M20" s="24"/>
      <c r="N20" s="24"/>
      <c r="O20" s="24"/>
      <c r="P20" s="24" t="n">
        <v>2</v>
      </c>
      <c r="Q20" s="24"/>
      <c r="R20" s="24"/>
      <c r="S20" s="24"/>
      <c r="T20" s="24" t="n">
        <v>2</v>
      </c>
      <c r="U20" s="24"/>
      <c r="V20" s="24"/>
      <c r="W20" s="24"/>
      <c r="X20" s="24" t="n">
        <v>1</v>
      </c>
      <c r="Y20" s="24"/>
      <c r="Z20" s="24"/>
      <c r="AA20" s="24"/>
      <c r="AB20" s="24" t="n">
        <v>1</v>
      </c>
      <c r="AC20" s="24"/>
      <c r="AD20" s="24"/>
      <c r="AE20" s="24"/>
      <c r="AF20" s="24" t="n">
        <v>1</v>
      </c>
      <c r="AG20" s="24"/>
      <c r="AH20" s="24"/>
      <c r="AI20" s="24"/>
      <c r="AJ20" s="24" t="n">
        <v>1</v>
      </c>
      <c r="AK20" s="24"/>
      <c r="AL20" s="24"/>
      <c r="AM20" s="24"/>
      <c r="AN20" s="24" t="n">
        <v>1</v>
      </c>
      <c r="AO20" s="24"/>
      <c r="AP20" s="24"/>
      <c r="AQ20" s="24"/>
      <c r="AR20" s="24" t="n">
        <v>1</v>
      </c>
      <c r="AS20" s="24"/>
      <c r="AT20" s="24"/>
      <c r="AU20" s="24"/>
      <c r="AV20" s="24" t="n">
        <v>1</v>
      </c>
      <c r="AW20" s="24"/>
      <c r="AX20" s="24"/>
      <c r="AY20" s="24"/>
      <c r="AZ20" s="25" t="n">
        <f aca="false">SUM(D20:AY20)</f>
        <v>17</v>
      </c>
      <c r="BA20" s="26" t="n">
        <v>40</v>
      </c>
      <c r="BB20" s="27" t="n">
        <f aca="false">AZ20*BA20*$BB$30</f>
        <v>114240</v>
      </c>
    </row>
    <row r="21" customFormat="false" ht="15" hidden="false" customHeight="true" outlineLevel="0" collapsed="false">
      <c r="A21" s="22" t="s">
        <v>77</v>
      </c>
      <c r="B21" s="23" t="s">
        <v>5</v>
      </c>
      <c r="C21" s="22" t="s">
        <v>68</v>
      </c>
      <c r="D21" s="24" t="n">
        <v>2</v>
      </c>
      <c r="E21" s="24"/>
      <c r="F21" s="24"/>
      <c r="G21" s="24"/>
      <c r="H21" s="24" t="n">
        <v>2</v>
      </c>
      <c r="I21" s="24"/>
      <c r="J21" s="24"/>
      <c r="K21" s="24"/>
      <c r="L21" s="24" t="n">
        <v>2</v>
      </c>
      <c r="M21" s="24"/>
      <c r="N21" s="24"/>
      <c r="O21" s="24"/>
      <c r="P21" s="24" t="n">
        <v>2</v>
      </c>
      <c r="Q21" s="24"/>
      <c r="R21" s="24"/>
      <c r="S21" s="24"/>
      <c r="T21" s="24" t="n">
        <v>2</v>
      </c>
      <c r="U21" s="24"/>
      <c r="V21" s="24"/>
      <c r="W21" s="24"/>
      <c r="X21" s="24" t="n">
        <v>2</v>
      </c>
      <c r="Y21" s="24"/>
      <c r="Z21" s="24"/>
      <c r="AA21" s="24"/>
      <c r="AB21" s="24" t="n">
        <v>1</v>
      </c>
      <c r="AC21" s="24"/>
      <c r="AD21" s="24"/>
      <c r="AE21" s="24"/>
      <c r="AF21" s="24" t="n">
        <v>1</v>
      </c>
      <c r="AG21" s="24"/>
      <c r="AH21" s="24"/>
      <c r="AI21" s="24"/>
      <c r="AJ21" s="24" t="n">
        <v>1</v>
      </c>
      <c r="AK21" s="24"/>
      <c r="AL21" s="24"/>
      <c r="AM21" s="24"/>
      <c r="AN21" s="24" t="n">
        <v>1</v>
      </c>
      <c r="AO21" s="24"/>
      <c r="AP21" s="24"/>
      <c r="AQ21" s="24"/>
      <c r="AR21" s="24" t="n">
        <v>1</v>
      </c>
      <c r="AS21" s="24"/>
      <c r="AT21" s="24"/>
      <c r="AU21" s="24"/>
      <c r="AV21" s="24" t="n">
        <v>1</v>
      </c>
      <c r="AW21" s="24"/>
      <c r="AX21" s="24"/>
      <c r="AY21" s="24"/>
      <c r="AZ21" s="25" t="n">
        <f aca="false">SUM(D21:AY21)</f>
        <v>18</v>
      </c>
      <c r="BA21" s="26" t="n">
        <v>40</v>
      </c>
      <c r="BB21" s="27" t="n">
        <f aca="false">AZ21*BA21*$BB$30</f>
        <v>120960</v>
      </c>
    </row>
    <row r="22" customFormat="false" ht="15" hidden="false" customHeight="true" outlineLevel="0" collapsed="false">
      <c r="A22" s="22" t="s">
        <v>78</v>
      </c>
      <c r="B22" s="23" t="s">
        <v>5</v>
      </c>
      <c r="C22" s="22" t="s">
        <v>68</v>
      </c>
      <c r="D22" s="24" t="n">
        <v>3</v>
      </c>
      <c r="E22" s="24"/>
      <c r="F22" s="24"/>
      <c r="G22" s="24"/>
      <c r="H22" s="24" t="n">
        <v>3</v>
      </c>
      <c r="I22" s="24"/>
      <c r="J22" s="24"/>
      <c r="K22" s="24"/>
      <c r="L22" s="24" t="n">
        <v>2</v>
      </c>
      <c r="M22" s="24"/>
      <c r="N22" s="24"/>
      <c r="O22" s="24"/>
      <c r="P22" s="24" t="n">
        <v>2</v>
      </c>
      <c r="Q22" s="24"/>
      <c r="R22" s="24"/>
      <c r="S22" s="24"/>
      <c r="T22" s="24" t="n">
        <v>2</v>
      </c>
      <c r="U22" s="24"/>
      <c r="V22" s="24"/>
      <c r="W22" s="24"/>
      <c r="X22" s="24" t="n">
        <v>2</v>
      </c>
      <c r="Y22" s="24"/>
      <c r="Z22" s="24"/>
      <c r="AA22" s="24"/>
      <c r="AB22" s="24" t="n">
        <v>2</v>
      </c>
      <c r="AC22" s="24"/>
      <c r="AD22" s="24"/>
      <c r="AE22" s="24"/>
      <c r="AF22" s="24" t="n">
        <v>2</v>
      </c>
      <c r="AG22" s="24"/>
      <c r="AH22" s="24"/>
      <c r="AI22" s="24"/>
      <c r="AJ22" s="24" t="n">
        <v>1</v>
      </c>
      <c r="AK22" s="24"/>
      <c r="AL22" s="24"/>
      <c r="AM22" s="24"/>
      <c r="AN22" s="24" t="n">
        <v>1</v>
      </c>
      <c r="AO22" s="24"/>
      <c r="AP22" s="24"/>
      <c r="AQ22" s="24"/>
      <c r="AR22" s="24" t="n">
        <v>1</v>
      </c>
      <c r="AS22" s="24"/>
      <c r="AT22" s="24"/>
      <c r="AU22" s="24"/>
      <c r="AV22" s="24" t="n">
        <v>1</v>
      </c>
      <c r="AW22" s="24"/>
      <c r="AX22" s="24"/>
      <c r="AY22" s="24"/>
      <c r="AZ22" s="25" t="n">
        <f aca="false">SUM(D22:AY22)</f>
        <v>22</v>
      </c>
      <c r="BA22" s="26" t="n">
        <v>40</v>
      </c>
      <c r="BB22" s="27" t="n">
        <f aca="false">AZ22*BA22*$BB$30</f>
        <v>147840</v>
      </c>
    </row>
    <row r="23" customFormat="false" ht="15" hidden="false" customHeight="true" outlineLevel="0" collapsed="false">
      <c r="A23" s="22" t="s">
        <v>133</v>
      </c>
      <c r="B23" s="23" t="s">
        <v>5</v>
      </c>
      <c r="C23" s="22" t="s">
        <v>68</v>
      </c>
      <c r="D23" s="24" t="n">
        <v>1</v>
      </c>
      <c r="E23" s="24"/>
      <c r="F23" s="24"/>
      <c r="G23" s="24"/>
      <c r="H23" s="24" t="n">
        <v>1</v>
      </c>
      <c r="I23" s="24"/>
      <c r="J23" s="24"/>
      <c r="K23" s="24"/>
      <c r="L23" s="24" t="n">
        <v>1</v>
      </c>
      <c r="M23" s="24"/>
      <c r="N23" s="24"/>
      <c r="O23" s="24"/>
      <c r="P23" s="24" t="n">
        <v>1</v>
      </c>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t="n">
        <v>0.5</v>
      </c>
      <c r="AW23" s="24"/>
      <c r="AX23" s="24"/>
      <c r="AY23" s="24"/>
      <c r="AZ23" s="25" t="n">
        <f aca="false">SUM(D23:AY23)</f>
        <v>4.5</v>
      </c>
      <c r="BA23" s="26" t="n">
        <v>40</v>
      </c>
      <c r="BB23" s="27" t="n">
        <f aca="false">AZ23*BA23*$BB$30</f>
        <v>30240</v>
      </c>
    </row>
    <row r="24" customFormat="false" ht="15" hidden="false" customHeight="true" outlineLevel="0" collapsed="false">
      <c r="A24" s="22" t="s">
        <v>79</v>
      </c>
      <c r="B24" s="23" t="s">
        <v>5</v>
      </c>
      <c r="C24" s="22" t="s">
        <v>68</v>
      </c>
      <c r="D24" s="24"/>
      <c r="E24" s="24"/>
      <c r="F24" s="24"/>
      <c r="G24" s="24"/>
      <c r="H24" s="24"/>
      <c r="I24" s="24"/>
      <c r="J24" s="24"/>
      <c r="K24" s="24"/>
      <c r="L24" s="24"/>
      <c r="M24" s="24"/>
      <c r="N24" s="24"/>
      <c r="O24" s="24"/>
      <c r="P24" s="24"/>
      <c r="Q24" s="24"/>
      <c r="R24" s="24"/>
      <c r="S24" s="24"/>
      <c r="T24" s="24" t="n">
        <v>2</v>
      </c>
      <c r="U24" s="24"/>
      <c r="V24" s="24"/>
      <c r="W24" s="24"/>
      <c r="X24" s="24" t="n">
        <v>2</v>
      </c>
      <c r="Y24" s="24"/>
      <c r="Z24" s="24"/>
      <c r="AA24" s="24"/>
      <c r="AB24" s="24" t="n">
        <v>2</v>
      </c>
      <c r="AC24" s="24"/>
      <c r="AD24" s="24"/>
      <c r="AE24" s="24"/>
      <c r="AF24" s="24" t="n">
        <v>2</v>
      </c>
      <c r="AG24" s="24"/>
      <c r="AH24" s="24"/>
      <c r="AI24" s="24"/>
      <c r="AJ24" s="24" t="n">
        <v>2</v>
      </c>
      <c r="AK24" s="24"/>
      <c r="AL24" s="24"/>
      <c r="AM24" s="24"/>
      <c r="AN24" s="24" t="n">
        <v>2</v>
      </c>
      <c r="AO24" s="24"/>
      <c r="AP24" s="24"/>
      <c r="AQ24" s="24"/>
      <c r="AR24" s="24" t="n">
        <v>2</v>
      </c>
      <c r="AS24" s="24"/>
      <c r="AT24" s="24"/>
      <c r="AU24" s="24"/>
      <c r="AV24" s="24" t="n">
        <v>2</v>
      </c>
      <c r="AW24" s="24"/>
      <c r="AX24" s="24"/>
      <c r="AY24" s="24"/>
      <c r="AZ24" s="25" t="n">
        <f aca="false">SUM(D24:AY24)</f>
        <v>16</v>
      </c>
      <c r="BA24" s="26" t="n">
        <v>40</v>
      </c>
      <c r="BB24" s="27" t="n">
        <f aca="false">AZ24*BA24*$BB$30</f>
        <v>107520</v>
      </c>
    </row>
    <row r="25" customFormat="false" ht="15" hidden="false" customHeight="true" outlineLevel="0" collapsed="false">
      <c r="A25" s="22"/>
      <c r="B25" s="23" t="s">
        <v>5</v>
      </c>
      <c r="C25" s="22"/>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5" t="n">
        <f aca="false">SUM(D25:AY25)</f>
        <v>0</v>
      </c>
      <c r="BA25" s="26" t="n">
        <v>0</v>
      </c>
      <c r="BB25" s="27" t="n">
        <f aca="false">AZ25*BA25*$BB$30</f>
        <v>0</v>
      </c>
    </row>
    <row r="26" customFormat="false" ht="15" hidden="false" customHeight="true" outlineLevel="0" collapsed="false">
      <c r="A26" s="28" t="s">
        <v>80</v>
      </c>
      <c r="B26" s="28"/>
      <c r="C26" s="28"/>
      <c r="D26" s="29" t="n">
        <f aca="false">SUM(D12:D25)</f>
        <v>15.2</v>
      </c>
      <c r="E26" s="29"/>
      <c r="F26" s="29"/>
      <c r="G26" s="29"/>
      <c r="H26" s="29" t="n">
        <f aca="false">SUM(H12:H25)</f>
        <v>15.2</v>
      </c>
      <c r="I26" s="29"/>
      <c r="J26" s="29"/>
      <c r="K26" s="29"/>
      <c r="L26" s="29" t="n">
        <f aca="false">SUM(L12:L25)</f>
        <v>14.2</v>
      </c>
      <c r="M26" s="29"/>
      <c r="N26" s="29"/>
      <c r="O26" s="29"/>
      <c r="P26" s="29" t="n">
        <f aca="false">SUM(P12:P25)</f>
        <v>15.9</v>
      </c>
      <c r="Q26" s="29"/>
      <c r="R26" s="29"/>
      <c r="S26" s="29"/>
      <c r="T26" s="29" t="n">
        <f aca="false">SUM(T12:T25)</f>
        <v>16.9</v>
      </c>
      <c r="U26" s="29"/>
      <c r="V26" s="29"/>
      <c r="W26" s="29"/>
      <c r="X26" s="29" t="n">
        <f aca="false">SUM(X12:X25)</f>
        <v>15.7</v>
      </c>
      <c r="Y26" s="29"/>
      <c r="Z26" s="29"/>
      <c r="AA26" s="29"/>
      <c r="AB26" s="29" t="n">
        <f aca="false">SUM(AB12:AB25)</f>
        <v>14.7</v>
      </c>
      <c r="AC26" s="29"/>
      <c r="AD26" s="29"/>
      <c r="AE26" s="29"/>
      <c r="AF26" s="29" t="n">
        <f aca="false">SUM(AF12:AF25)</f>
        <v>14.7</v>
      </c>
      <c r="AG26" s="29"/>
      <c r="AH26" s="29"/>
      <c r="AI26" s="29"/>
      <c r="AJ26" s="29" t="n">
        <f aca="false">SUM(AJ12:AJ25)</f>
        <v>13.7</v>
      </c>
      <c r="AK26" s="29"/>
      <c r="AL26" s="29"/>
      <c r="AM26" s="29"/>
      <c r="AN26" s="29" t="n">
        <f aca="false">SUM(AN12:AN25)</f>
        <v>12.7</v>
      </c>
      <c r="AO26" s="29"/>
      <c r="AP26" s="29"/>
      <c r="AQ26" s="29"/>
      <c r="AR26" s="29" t="n">
        <f aca="false">SUM(AR12:AR25)</f>
        <v>12.7</v>
      </c>
      <c r="AS26" s="29"/>
      <c r="AT26" s="29"/>
      <c r="AU26" s="29"/>
      <c r="AV26" s="29" t="n">
        <f aca="false">SUM(AV12:AV25)</f>
        <v>13.2</v>
      </c>
      <c r="AW26" s="29"/>
      <c r="AX26" s="29"/>
      <c r="AY26" s="29"/>
      <c r="AZ26" s="29" t="n">
        <f aca="false">SUM(AZ12:AZ25)</f>
        <v>174.8</v>
      </c>
      <c r="BA26" s="30"/>
      <c r="BB26" s="31" t="n">
        <f aca="false">SUM(BB12:BB25)</f>
        <v>1174656</v>
      </c>
    </row>
    <row r="27" customFormat="false" ht="15" hidden="false" customHeight="true" outlineLevel="0" collapsed="false">
      <c r="A27" s="32" t="s">
        <v>81</v>
      </c>
      <c r="B27" s="32"/>
      <c r="C27" s="32"/>
      <c r="D27" s="32"/>
      <c r="E27" s="32"/>
      <c r="F27" s="32"/>
      <c r="G27" s="32"/>
      <c r="H27" s="32"/>
      <c r="I27" s="32"/>
      <c r="J27" s="32"/>
      <c r="K27" s="32"/>
      <c r="L27" s="32"/>
      <c r="M27" s="32"/>
      <c r="N27" s="32"/>
      <c r="O27" s="32"/>
      <c r="P27" s="32"/>
      <c r="Q27" s="32"/>
      <c r="R27" s="32"/>
      <c r="S27" s="32"/>
      <c r="T27" s="32"/>
    </row>
    <row r="28" customFormat="false" ht="15" hidden="false" customHeight="true" outlineLevel="0" collapsed="false">
      <c r="AZ28" s="33" t="s">
        <v>82</v>
      </c>
      <c r="BA28" s="33"/>
      <c r="BB28" s="34" t="n">
        <f aca="false">BB26</f>
        <v>1174656</v>
      </c>
    </row>
    <row r="29" customFormat="false" ht="15" hidden="false" customHeight="true" outlineLevel="0" collapsed="false">
      <c r="AZ29" s="33" t="s">
        <v>83</v>
      </c>
      <c r="BA29" s="33"/>
      <c r="BB29" s="35" t="n">
        <f aca="false">'Executive Summary'!$E$1*BB28</f>
        <v>99845760</v>
      </c>
    </row>
    <row r="30" customFormat="false" ht="23.25" hidden="false" customHeight="true" outlineLevel="0" collapsed="false">
      <c r="AZ30" s="33" t="s">
        <v>84</v>
      </c>
      <c r="BA30" s="33"/>
      <c r="BB30" s="36" t="n">
        <v>168</v>
      </c>
    </row>
    <row r="33" customFormat="false" ht="15" hidden="false" customHeight="true" outlineLevel="0" collapsed="false">
      <c r="A33" s="37" t="s">
        <v>85</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row>
    <row r="34" customFormat="false" ht="15" hidden="false" customHeight="true" outlineLevel="0" collapsed="false">
      <c r="A34" s="16" t="s">
        <v>86</v>
      </c>
      <c r="B34" s="16"/>
      <c r="C34" s="16"/>
      <c r="D34" s="16" t="s">
        <v>87</v>
      </c>
      <c r="E34" s="16"/>
      <c r="F34" s="16"/>
      <c r="G34" s="16"/>
      <c r="H34" s="16" t="s">
        <v>88</v>
      </c>
      <c r="I34" s="16"/>
      <c r="J34" s="16"/>
      <c r="K34" s="16"/>
      <c r="L34" s="16" t="s">
        <v>89</v>
      </c>
      <c r="M34" s="16"/>
      <c r="N34" s="16"/>
      <c r="O34" s="16"/>
      <c r="P34" s="16" t="s">
        <v>90</v>
      </c>
      <c r="Q34" s="16"/>
      <c r="R34" s="16"/>
      <c r="S34" s="16"/>
      <c r="T34" s="16" t="s">
        <v>91</v>
      </c>
      <c r="U34" s="16"/>
      <c r="V34" s="16"/>
      <c r="W34" s="16"/>
      <c r="X34" s="16" t="s">
        <v>92</v>
      </c>
      <c r="Y34" s="16"/>
      <c r="Z34" s="16"/>
      <c r="AA34" s="16"/>
    </row>
    <row r="35" customFormat="false" ht="15" hidden="false" customHeight="true" outlineLevel="0" collapsed="false">
      <c r="A35" s="38" t="s">
        <v>93</v>
      </c>
      <c r="B35" s="38"/>
      <c r="C35" s="38"/>
      <c r="D35" s="39" t="n">
        <v>24</v>
      </c>
      <c r="E35" s="39"/>
      <c r="F35" s="39"/>
      <c r="G35" s="39"/>
      <c r="H35" s="39" t="n">
        <v>15</v>
      </c>
      <c r="I35" s="39"/>
      <c r="J35" s="39"/>
      <c r="K35" s="39"/>
      <c r="L35" s="39" t="n">
        <v>48</v>
      </c>
      <c r="M35" s="39"/>
      <c r="N35" s="39"/>
      <c r="O35" s="39"/>
      <c r="P35" s="39" t="n">
        <v>39</v>
      </c>
      <c r="Q35" s="39"/>
      <c r="R35" s="39"/>
      <c r="S35" s="39"/>
      <c r="T35" s="39" t="n">
        <v>16</v>
      </c>
      <c r="U35" s="39"/>
      <c r="V35" s="39"/>
      <c r="W35" s="39"/>
      <c r="X35" s="39" t="n">
        <v>7</v>
      </c>
      <c r="Y35" s="39"/>
      <c r="Z35" s="39"/>
      <c r="AA35" s="39"/>
    </row>
    <row r="36" customFormat="false" ht="15" hidden="false" customHeight="true" outlineLevel="0" collapsed="false">
      <c r="A36" s="38" t="s">
        <v>94</v>
      </c>
      <c r="B36" s="38"/>
      <c r="C36" s="38"/>
      <c r="D36" s="27" t="n">
        <f aca="false">(D35/$AZ$26)*'Executive Summary'!$E$14</f>
        <v>137299.771167048</v>
      </c>
      <c r="E36" s="27"/>
      <c r="F36" s="27"/>
      <c r="G36" s="27"/>
      <c r="H36" s="27" t="n">
        <f aca="false">(H35/$AZ$26)*'Executive Summary'!$E$14</f>
        <v>85812.356979405</v>
      </c>
      <c r="I36" s="27"/>
      <c r="J36" s="27"/>
      <c r="K36" s="27"/>
      <c r="L36" s="27" t="n">
        <f aca="false">(L35/$AZ$26)*'Executive Summary'!$E$14</f>
        <v>274599.542334096</v>
      </c>
      <c r="M36" s="27"/>
      <c r="N36" s="27"/>
      <c r="O36" s="27"/>
      <c r="P36" s="27" t="n">
        <f aca="false">(P35/$AZ$26)*'Executive Summary'!$E$14</f>
        <v>223112.128146453</v>
      </c>
      <c r="Q36" s="27"/>
      <c r="R36" s="27"/>
      <c r="S36" s="27"/>
      <c r="T36" s="27" t="n">
        <f aca="false">(T35/$AZ$26)*'Executive Summary'!$E$14</f>
        <v>91533.180778032</v>
      </c>
      <c r="U36" s="27"/>
      <c r="V36" s="27"/>
      <c r="W36" s="27"/>
      <c r="X36" s="27" t="n">
        <f aca="false">(X35/$AZ$26)*'Executive Summary'!$E$14</f>
        <v>40045.766590389</v>
      </c>
      <c r="Y36" s="27"/>
      <c r="Z36" s="27"/>
      <c r="AA36" s="27"/>
    </row>
    <row r="40" customFormat="false" ht="15" hidden="false" customHeight="true" outlineLevel="0" collapsed="false">
      <c r="A40" s="37" t="s">
        <v>95</v>
      </c>
      <c r="B40" s="37"/>
      <c r="C40" s="37"/>
      <c r="D40" s="37"/>
      <c r="E40" s="37"/>
      <c r="F40" s="37"/>
      <c r="G40" s="37"/>
    </row>
    <row r="41" customFormat="false" ht="15" hidden="false" customHeight="true" outlineLevel="0" collapsed="false">
      <c r="A41" s="16" t="s">
        <v>64</v>
      </c>
      <c r="B41" s="16"/>
      <c r="C41" s="16"/>
      <c r="D41" s="16" t="s">
        <v>45</v>
      </c>
      <c r="E41" s="16"/>
      <c r="F41" s="16"/>
      <c r="G41" s="16"/>
      <c r="H41" s="16" t="s">
        <v>46</v>
      </c>
      <c r="I41" s="16"/>
      <c r="J41" s="16"/>
      <c r="K41" s="16"/>
      <c r="L41" s="16" t="s">
        <v>47</v>
      </c>
      <c r="M41" s="16"/>
      <c r="N41" s="16"/>
      <c r="O41" s="16"/>
      <c r="P41" s="16" t="s">
        <v>48</v>
      </c>
      <c r="Q41" s="16"/>
      <c r="R41" s="16"/>
      <c r="S41" s="16"/>
      <c r="T41" s="16" t="s">
        <v>49</v>
      </c>
      <c r="U41" s="16"/>
      <c r="V41" s="16"/>
      <c r="W41" s="16"/>
      <c r="X41" s="16" t="s">
        <v>50</v>
      </c>
      <c r="Y41" s="16"/>
      <c r="Z41" s="16"/>
      <c r="AA41" s="16"/>
      <c r="AB41" s="16" t="s">
        <v>51</v>
      </c>
      <c r="AC41" s="16"/>
      <c r="AD41" s="16"/>
      <c r="AE41" s="16"/>
      <c r="AF41" s="16" t="s">
        <v>52</v>
      </c>
      <c r="AG41" s="16"/>
      <c r="AH41" s="16"/>
      <c r="AI41" s="16"/>
      <c r="AJ41" s="16" t="s">
        <v>53</v>
      </c>
      <c r="AK41" s="16"/>
      <c r="AL41" s="16"/>
      <c r="AM41" s="16"/>
      <c r="AN41" s="16" t="s">
        <v>54</v>
      </c>
      <c r="AO41" s="16"/>
      <c r="AP41" s="16"/>
      <c r="AQ41" s="16"/>
      <c r="AR41" s="16" t="s">
        <v>55</v>
      </c>
      <c r="AS41" s="16"/>
      <c r="AT41" s="16"/>
      <c r="AU41" s="16"/>
      <c r="AV41" s="16" t="s">
        <v>56</v>
      </c>
      <c r="AW41" s="16"/>
      <c r="AX41" s="16"/>
      <c r="AY41" s="16"/>
      <c r="AZ41" s="16" t="s">
        <v>96</v>
      </c>
      <c r="BA41" s="16" t="s">
        <v>97</v>
      </c>
    </row>
    <row r="42" customFormat="false" ht="15" hidden="false" customHeight="true" outlineLevel="0" collapsed="false">
      <c r="A42" s="40" t="s">
        <v>98</v>
      </c>
      <c r="B42" s="40"/>
      <c r="C42" s="40"/>
      <c r="D42" s="41" t="n">
        <f aca="false">(D26/$AZ$26)*'Executive Summary'!$E$14</f>
        <v>86956.5217391304</v>
      </c>
      <c r="E42" s="41"/>
      <c r="F42" s="41"/>
      <c r="G42" s="41"/>
      <c r="H42" s="41" t="n">
        <f aca="false">(H26/$AZ$26)*'Executive Summary'!$E$14</f>
        <v>86956.5217391304</v>
      </c>
      <c r="I42" s="41"/>
      <c r="J42" s="41"/>
      <c r="K42" s="41"/>
      <c r="L42" s="41" t="n">
        <f aca="false">(L26/$AZ$26)*'Executive Summary'!$E$14</f>
        <v>81235.6979405034</v>
      </c>
      <c r="M42" s="41"/>
      <c r="N42" s="41"/>
      <c r="O42" s="41"/>
      <c r="P42" s="41" t="n">
        <f aca="false">(P26/$AZ$26)*'Executive Summary'!$E$14</f>
        <v>90961.0983981693</v>
      </c>
      <c r="Q42" s="41"/>
      <c r="R42" s="41"/>
      <c r="S42" s="41"/>
      <c r="T42" s="41" t="n">
        <f aca="false">(T26/$AZ$26)*'Executive Summary'!$E$14</f>
        <v>96681.9221967963</v>
      </c>
      <c r="U42" s="41"/>
      <c r="V42" s="41"/>
      <c r="W42" s="41"/>
      <c r="X42" s="41" t="n">
        <f aca="false">(X26/$AZ$26)*'Executive Summary'!$E$14</f>
        <v>89816.9336384439</v>
      </c>
      <c r="Y42" s="41"/>
      <c r="Z42" s="41"/>
      <c r="AA42" s="41"/>
      <c r="AB42" s="41" t="n">
        <f aca="false">(AB26/$AZ$26)*'Executive Summary'!$E$14</f>
        <v>84096.1098398169</v>
      </c>
      <c r="AC42" s="41"/>
      <c r="AD42" s="41"/>
      <c r="AE42" s="41"/>
      <c r="AF42" s="41" t="n">
        <f aca="false">(AF26/$AZ$26)*'Executive Summary'!$E$14</f>
        <v>84096.1098398169</v>
      </c>
      <c r="AG42" s="41"/>
      <c r="AH42" s="41"/>
      <c r="AI42" s="41"/>
      <c r="AJ42" s="41" t="n">
        <f aca="false">(AJ26/$AZ$26)*'Executive Summary'!$E$14</f>
        <v>78375.2860411899</v>
      </c>
      <c r="AK42" s="41"/>
      <c r="AL42" s="41"/>
      <c r="AM42" s="41"/>
      <c r="AN42" s="41" t="n">
        <f aca="false">(AN26/$AZ$26)*'Executive Summary'!$E$14</f>
        <v>72654.4622425629</v>
      </c>
      <c r="AO42" s="41"/>
      <c r="AP42" s="41"/>
      <c r="AQ42" s="41"/>
      <c r="AR42" s="41" t="n">
        <f aca="false">(AR26/$AZ$26)*'Executive Summary'!$E$14</f>
        <v>72654.4622425629</v>
      </c>
      <c r="AS42" s="41"/>
      <c r="AT42" s="41"/>
      <c r="AU42" s="41"/>
      <c r="AV42" s="41" t="n">
        <f aca="false">(AV26/$AZ$26)*'Executive Summary'!$E$14</f>
        <v>75514.8741418764</v>
      </c>
      <c r="AW42" s="41"/>
      <c r="AX42" s="41"/>
      <c r="AY42" s="41"/>
      <c r="AZ42" s="42" t="n">
        <f aca="false">SUM(D42:AY42)</f>
        <v>1000000</v>
      </c>
      <c r="BA42" s="43"/>
    </row>
    <row r="43" customFormat="false" ht="23.25" hidden="false" customHeight="true" outlineLevel="0" collapsed="false">
      <c r="A43" s="40" t="s">
        <v>99</v>
      </c>
      <c r="B43" s="40"/>
      <c r="C43" s="40"/>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2" t="n">
        <f aca="false">SUM(D43:AY43)</f>
        <v>0</v>
      </c>
      <c r="BA43" s="42" t="n">
        <f aca="false">AZ42-AZ43</f>
        <v>1000000</v>
      </c>
    </row>
    <row r="44" customFormat="false" ht="23.25" hidden="false" customHeight="true" outlineLevel="0" collapsed="false">
      <c r="A44" s="40" t="s">
        <v>100</v>
      </c>
      <c r="B44" s="40"/>
      <c r="C44" s="40"/>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2" t="n">
        <f aca="false">SUM(D44:AY44)</f>
        <v>0</v>
      </c>
      <c r="BA44" s="42" t="n">
        <f aca="false">AZ42-AZ44</f>
        <v>1000000</v>
      </c>
    </row>
  </sheetData>
  <mergeCells count="292">
    <mergeCell ref="A1:C1"/>
    <mergeCell ref="D1:G1"/>
    <mergeCell ref="H1:K1"/>
    <mergeCell ref="L1:O1"/>
    <mergeCell ref="P1:S1"/>
    <mergeCell ref="T1:W1"/>
    <mergeCell ref="X1:AA1"/>
    <mergeCell ref="AB1:AE1"/>
    <mergeCell ref="AF1:AI1"/>
    <mergeCell ref="AJ1:AM1"/>
    <mergeCell ref="AN1:AQ1"/>
    <mergeCell ref="AR1:AU1"/>
    <mergeCell ref="AV1:AY1"/>
    <mergeCell ref="A2:C2"/>
    <mergeCell ref="A3:C3"/>
    <mergeCell ref="A4:C4"/>
    <mergeCell ref="A5:C5"/>
    <mergeCell ref="A6:C6"/>
    <mergeCell ref="A7:C7"/>
    <mergeCell ref="A8:C8"/>
    <mergeCell ref="D11:G11"/>
    <mergeCell ref="H11:K11"/>
    <mergeCell ref="L11:O11"/>
    <mergeCell ref="P11:S11"/>
    <mergeCell ref="T11:W11"/>
    <mergeCell ref="X11:AA11"/>
    <mergeCell ref="AB11:AE11"/>
    <mergeCell ref="AF11:AI11"/>
    <mergeCell ref="AJ11:AM11"/>
    <mergeCell ref="AN11:AQ11"/>
    <mergeCell ref="AR11:AU11"/>
    <mergeCell ref="AV11:AY11"/>
    <mergeCell ref="D12:G12"/>
    <mergeCell ref="H12:K12"/>
    <mergeCell ref="L12:O12"/>
    <mergeCell ref="P12:S12"/>
    <mergeCell ref="T12:W12"/>
    <mergeCell ref="X12:AA12"/>
    <mergeCell ref="AB12:AE12"/>
    <mergeCell ref="AF12:AI12"/>
    <mergeCell ref="AJ12:AM12"/>
    <mergeCell ref="AN12:AQ12"/>
    <mergeCell ref="AR12:AU12"/>
    <mergeCell ref="AV12:AY12"/>
    <mergeCell ref="D13:G13"/>
    <mergeCell ref="H13:K13"/>
    <mergeCell ref="L13:O13"/>
    <mergeCell ref="P13:S13"/>
    <mergeCell ref="T13:W13"/>
    <mergeCell ref="X13:AA13"/>
    <mergeCell ref="AB13:AE13"/>
    <mergeCell ref="AF13:AI13"/>
    <mergeCell ref="AJ13:AM13"/>
    <mergeCell ref="AN13:AQ13"/>
    <mergeCell ref="AR13:AU13"/>
    <mergeCell ref="AV13:AY13"/>
    <mergeCell ref="D14:G14"/>
    <mergeCell ref="H14:K14"/>
    <mergeCell ref="L14:O14"/>
    <mergeCell ref="P14:S14"/>
    <mergeCell ref="T14:W14"/>
    <mergeCell ref="X14:AA14"/>
    <mergeCell ref="AB14:AE14"/>
    <mergeCell ref="AF14:AI14"/>
    <mergeCell ref="AJ14:AM14"/>
    <mergeCell ref="AN14:AQ14"/>
    <mergeCell ref="AR14:AU14"/>
    <mergeCell ref="AV14:AY14"/>
    <mergeCell ref="D15:G15"/>
    <mergeCell ref="H15:K15"/>
    <mergeCell ref="L15:O15"/>
    <mergeCell ref="P15:S15"/>
    <mergeCell ref="T15:W15"/>
    <mergeCell ref="X15:AA15"/>
    <mergeCell ref="AB15:AE15"/>
    <mergeCell ref="AF15:AI15"/>
    <mergeCell ref="AJ15:AM15"/>
    <mergeCell ref="AN15:AQ15"/>
    <mergeCell ref="AR15:AU15"/>
    <mergeCell ref="AV15:AY15"/>
    <mergeCell ref="D16:G16"/>
    <mergeCell ref="H16:K16"/>
    <mergeCell ref="L16:O16"/>
    <mergeCell ref="P16:S16"/>
    <mergeCell ref="T16:W16"/>
    <mergeCell ref="X16:AA16"/>
    <mergeCell ref="AB16:AE16"/>
    <mergeCell ref="AF16:AI16"/>
    <mergeCell ref="AJ16:AM16"/>
    <mergeCell ref="AN16:AQ16"/>
    <mergeCell ref="AR16:AU16"/>
    <mergeCell ref="AV16:AY16"/>
    <mergeCell ref="D17:G17"/>
    <mergeCell ref="H17:K17"/>
    <mergeCell ref="L17:O17"/>
    <mergeCell ref="P17:S17"/>
    <mergeCell ref="T17:W17"/>
    <mergeCell ref="X17:AA17"/>
    <mergeCell ref="AB17:AE17"/>
    <mergeCell ref="AF17:AI17"/>
    <mergeCell ref="AJ17:AM17"/>
    <mergeCell ref="AN17:AQ17"/>
    <mergeCell ref="AR17:AU17"/>
    <mergeCell ref="AV17:AY17"/>
    <mergeCell ref="D18:G18"/>
    <mergeCell ref="H18:K18"/>
    <mergeCell ref="L18:O18"/>
    <mergeCell ref="P18:S18"/>
    <mergeCell ref="T18:W18"/>
    <mergeCell ref="X18:AA18"/>
    <mergeCell ref="AB18:AE18"/>
    <mergeCell ref="AF18:AI18"/>
    <mergeCell ref="AJ18:AM18"/>
    <mergeCell ref="AN18:AQ18"/>
    <mergeCell ref="AR18:AU18"/>
    <mergeCell ref="AV18:AY18"/>
    <mergeCell ref="D19:G19"/>
    <mergeCell ref="H19:K19"/>
    <mergeCell ref="L19:O19"/>
    <mergeCell ref="P19:S19"/>
    <mergeCell ref="T19:W19"/>
    <mergeCell ref="X19:AA19"/>
    <mergeCell ref="AB19:AE19"/>
    <mergeCell ref="AF19:AI19"/>
    <mergeCell ref="AJ19:AM19"/>
    <mergeCell ref="AN19:AQ19"/>
    <mergeCell ref="AR19:AU19"/>
    <mergeCell ref="AV19:AY19"/>
    <mergeCell ref="D20:G20"/>
    <mergeCell ref="H20:K20"/>
    <mergeCell ref="L20:O20"/>
    <mergeCell ref="P20:S20"/>
    <mergeCell ref="T20:W20"/>
    <mergeCell ref="X20:AA20"/>
    <mergeCell ref="AB20:AE20"/>
    <mergeCell ref="AF20:AI20"/>
    <mergeCell ref="AJ20:AM20"/>
    <mergeCell ref="AN20:AQ20"/>
    <mergeCell ref="AR20:AU20"/>
    <mergeCell ref="AV20:AY20"/>
    <mergeCell ref="D21:G21"/>
    <mergeCell ref="H21:K21"/>
    <mergeCell ref="L21:O21"/>
    <mergeCell ref="P21:S21"/>
    <mergeCell ref="T21:W21"/>
    <mergeCell ref="X21:AA21"/>
    <mergeCell ref="AB21:AE21"/>
    <mergeCell ref="AF21:AI21"/>
    <mergeCell ref="AJ21:AM21"/>
    <mergeCell ref="AN21:AQ21"/>
    <mergeCell ref="AR21:AU21"/>
    <mergeCell ref="AV21:AY21"/>
    <mergeCell ref="D22:G22"/>
    <mergeCell ref="H22:K22"/>
    <mergeCell ref="L22:O22"/>
    <mergeCell ref="P22:S22"/>
    <mergeCell ref="T22:W22"/>
    <mergeCell ref="X22:AA22"/>
    <mergeCell ref="AB22:AE22"/>
    <mergeCell ref="AF22:AI22"/>
    <mergeCell ref="AJ22:AM22"/>
    <mergeCell ref="AN22:AQ22"/>
    <mergeCell ref="AR22:AU22"/>
    <mergeCell ref="AV22:AY22"/>
    <mergeCell ref="D23:G23"/>
    <mergeCell ref="H23:K23"/>
    <mergeCell ref="L23:O23"/>
    <mergeCell ref="P23:S23"/>
    <mergeCell ref="T23:W23"/>
    <mergeCell ref="X23:AA23"/>
    <mergeCell ref="AB23:AE23"/>
    <mergeCell ref="AF23:AI23"/>
    <mergeCell ref="AJ23:AM23"/>
    <mergeCell ref="AN23:AQ23"/>
    <mergeCell ref="AR23:AU23"/>
    <mergeCell ref="AV23:AY23"/>
    <mergeCell ref="D24:G24"/>
    <mergeCell ref="H24:K24"/>
    <mergeCell ref="L24:O24"/>
    <mergeCell ref="P24:S24"/>
    <mergeCell ref="T24:W24"/>
    <mergeCell ref="X24:AA24"/>
    <mergeCell ref="AB24:AE24"/>
    <mergeCell ref="AF24:AI24"/>
    <mergeCell ref="AJ24:AM24"/>
    <mergeCell ref="AN24:AQ24"/>
    <mergeCell ref="AR24:AU24"/>
    <mergeCell ref="AV24:AY24"/>
    <mergeCell ref="D25:G25"/>
    <mergeCell ref="H25:K25"/>
    <mergeCell ref="L25:O25"/>
    <mergeCell ref="P25:S25"/>
    <mergeCell ref="T25:W25"/>
    <mergeCell ref="X25:AA25"/>
    <mergeCell ref="AB25:AE25"/>
    <mergeCell ref="AF25:AI25"/>
    <mergeCell ref="AJ25:AM25"/>
    <mergeCell ref="AN25:AQ25"/>
    <mergeCell ref="AR25:AU25"/>
    <mergeCell ref="AV25:AY25"/>
    <mergeCell ref="A26:C26"/>
    <mergeCell ref="D26:G26"/>
    <mergeCell ref="H26:K26"/>
    <mergeCell ref="L26:O26"/>
    <mergeCell ref="P26:S26"/>
    <mergeCell ref="T26:W26"/>
    <mergeCell ref="X26:AA26"/>
    <mergeCell ref="AB26:AE26"/>
    <mergeCell ref="AF26:AI26"/>
    <mergeCell ref="AJ26:AM26"/>
    <mergeCell ref="AN26:AQ26"/>
    <mergeCell ref="AR26:AU26"/>
    <mergeCell ref="AV26:AY26"/>
    <mergeCell ref="A27:T27"/>
    <mergeCell ref="AZ28:BA28"/>
    <mergeCell ref="AZ29:BA29"/>
    <mergeCell ref="AZ30:BA30"/>
    <mergeCell ref="A33:AA33"/>
    <mergeCell ref="A34:C34"/>
    <mergeCell ref="D34:G34"/>
    <mergeCell ref="H34:K34"/>
    <mergeCell ref="L34:O34"/>
    <mergeCell ref="P34:S34"/>
    <mergeCell ref="T34:W34"/>
    <mergeCell ref="X34:AA34"/>
    <mergeCell ref="A35:C35"/>
    <mergeCell ref="D35:G35"/>
    <mergeCell ref="H35:K35"/>
    <mergeCell ref="L35:O35"/>
    <mergeCell ref="P35:S35"/>
    <mergeCell ref="T35:W35"/>
    <mergeCell ref="X35:AA35"/>
    <mergeCell ref="A36:C36"/>
    <mergeCell ref="D36:G36"/>
    <mergeCell ref="H36:K36"/>
    <mergeCell ref="L36:O36"/>
    <mergeCell ref="P36:S36"/>
    <mergeCell ref="T36:W36"/>
    <mergeCell ref="X36:AA36"/>
    <mergeCell ref="A40:G40"/>
    <mergeCell ref="A41:C41"/>
    <mergeCell ref="D41:G41"/>
    <mergeCell ref="H41:K41"/>
    <mergeCell ref="L41:O41"/>
    <mergeCell ref="P41:S41"/>
    <mergeCell ref="T41:W41"/>
    <mergeCell ref="X41:AA41"/>
    <mergeCell ref="AB41:AE41"/>
    <mergeCell ref="AF41:AI41"/>
    <mergeCell ref="AJ41:AM41"/>
    <mergeCell ref="AN41:AQ41"/>
    <mergeCell ref="AR41:AU41"/>
    <mergeCell ref="AV41:AY41"/>
    <mergeCell ref="A42:C42"/>
    <mergeCell ref="D42:G42"/>
    <mergeCell ref="H42:K42"/>
    <mergeCell ref="L42:O42"/>
    <mergeCell ref="P42:S42"/>
    <mergeCell ref="T42:W42"/>
    <mergeCell ref="X42:AA42"/>
    <mergeCell ref="AB42:AE42"/>
    <mergeCell ref="AF42:AI42"/>
    <mergeCell ref="AJ42:AM42"/>
    <mergeCell ref="AN42:AQ42"/>
    <mergeCell ref="AR42:AU42"/>
    <mergeCell ref="AV42:AY42"/>
    <mergeCell ref="A43:C43"/>
    <mergeCell ref="D43:G43"/>
    <mergeCell ref="H43:K43"/>
    <mergeCell ref="L43:O43"/>
    <mergeCell ref="P43:S43"/>
    <mergeCell ref="T43:W43"/>
    <mergeCell ref="X43:AA43"/>
    <mergeCell ref="AB43:AE43"/>
    <mergeCell ref="AF43:AI43"/>
    <mergeCell ref="AJ43:AM43"/>
    <mergeCell ref="AN43:AQ43"/>
    <mergeCell ref="AR43:AU43"/>
    <mergeCell ref="AV43:AY43"/>
    <mergeCell ref="A44:C44"/>
    <mergeCell ref="D44:G44"/>
    <mergeCell ref="H44:K44"/>
    <mergeCell ref="L44:O44"/>
    <mergeCell ref="P44:S44"/>
    <mergeCell ref="T44:W44"/>
    <mergeCell ref="X44:AA44"/>
    <mergeCell ref="AB44:AE44"/>
    <mergeCell ref="AF44:AI44"/>
    <mergeCell ref="AJ44:AM44"/>
    <mergeCell ref="AN44:AQ44"/>
    <mergeCell ref="AR44:AU44"/>
    <mergeCell ref="AV44:AY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6"/>
    <col collapsed="false" customWidth="true" hidden="false" outlineLevel="0" max="3" min="3" style="0" width="44"/>
    <col collapsed="false" customWidth="true" hidden="false" outlineLevel="0" max="4" min="4" style="0" width="62"/>
    <col collapsed="false" customWidth="true" hidden="false" outlineLevel="0" max="5" min="5" style="0" width="14"/>
    <col collapsed="false" customWidth="true" hidden="false" outlineLevel="0" max="6" min="6" style="0" width="13"/>
    <col collapsed="false" customWidth="true" hidden="false" outlineLevel="0" max="7" min="7" style="0" width="15"/>
  </cols>
  <sheetData>
    <row r="2" customFormat="false" ht="15" hidden="false" customHeight="true" outlineLevel="0" collapsed="false">
      <c r="B2" s="62" t="s">
        <v>136</v>
      </c>
      <c r="C2" s="62"/>
      <c r="D2" s="62"/>
      <c r="E2" s="62"/>
      <c r="F2" s="62"/>
      <c r="G2" s="62"/>
    </row>
    <row r="3" customFormat="false" ht="23.85" hidden="false" customHeight="true" outlineLevel="0" collapsed="false">
      <c r="B3" s="63" t="s">
        <v>137</v>
      </c>
      <c r="C3" s="63"/>
      <c r="D3" s="63"/>
      <c r="E3" s="63"/>
      <c r="F3" s="63"/>
      <c r="G3" s="63"/>
    </row>
    <row r="5" customFormat="false" ht="30" hidden="false" customHeight="true" outlineLevel="0" collapsed="false">
      <c r="B5" s="16" t="s">
        <v>138</v>
      </c>
      <c r="C5" s="16" t="s">
        <v>139</v>
      </c>
      <c r="D5" s="16" t="s">
        <v>140</v>
      </c>
      <c r="E5" s="16" t="s">
        <v>141</v>
      </c>
      <c r="F5" s="16" t="s">
        <v>142</v>
      </c>
      <c r="G5" s="16" t="s">
        <v>143</v>
      </c>
    </row>
    <row r="6" customFormat="false" ht="45.75" hidden="false" customHeight="true" outlineLevel="0" collapsed="false">
      <c r="B6" s="64" t="s">
        <v>144</v>
      </c>
      <c r="C6" s="38" t="s">
        <v>145</v>
      </c>
      <c r="D6" s="65" t="s">
        <v>146</v>
      </c>
      <c r="E6" s="39" t="n">
        <v>42</v>
      </c>
      <c r="F6" s="66" t="n">
        <f aca="false">E6/$E$14</f>
        <v>0.219206680584551</v>
      </c>
      <c r="G6" s="67" t="n">
        <f aca="false">E6/$E$14*'Module 4 Flood-Landslide POD'!$BB$28</f>
        <v>282240</v>
      </c>
    </row>
    <row r="7" customFormat="false" ht="45.75" hidden="false" customHeight="true" outlineLevel="0" collapsed="false">
      <c r="B7" s="64" t="s">
        <v>147</v>
      </c>
      <c r="C7" s="38" t="s">
        <v>148</v>
      </c>
      <c r="D7" s="65" t="s">
        <v>149</v>
      </c>
      <c r="E7" s="39" t="n">
        <v>34</v>
      </c>
      <c r="F7" s="66" t="n">
        <f aca="false">E7/$E$14</f>
        <v>0.177453027139875</v>
      </c>
      <c r="G7" s="67" t="n">
        <f aca="false">E7/$E$14*'Module 4 Flood-Landslide POD'!$BB$28</f>
        <v>228480</v>
      </c>
    </row>
    <row r="8" customFormat="false" ht="45.75" hidden="false" customHeight="true" outlineLevel="0" collapsed="false">
      <c r="B8" s="64" t="s">
        <v>150</v>
      </c>
      <c r="C8" s="38" t="s">
        <v>151</v>
      </c>
      <c r="D8" s="65" t="s">
        <v>152</v>
      </c>
      <c r="E8" s="39" t="n">
        <v>26</v>
      </c>
      <c r="F8" s="66" t="n">
        <f aca="false">E8/$E$14</f>
        <v>0.135699373695198</v>
      </c>
      <c r="G8" s="67" t="n">
        <f aca="false">E8/$E$14*'Module 4 Flood-Landslide POD'!$BB$28</f>
        <v>174720</v>
      </c>
    </row>
    <row r="9" customFormat="false" ht="45.75" hidden="false" customHeight="true" outlineLevel="0" collapsed="false">
      <c r="B9" s="64" t="s">
        <v>153</v>
      </c>
      <c r="C9" s="38" t="s">
        <v>154</v>
      </c>
      <c r="D9" s="65" t="s">
        <v>155</v>
      </c>
      <c r="E9" s="39" t="n">
        <v>18</v>
      </c>
      <c r="F9" s="66" t="n">
        <f aca="false">E9/$E$14</f>
        <v>0.0939457202505219</v>
      </c>
      <c r="G9" s="67" t="n">
        <f aca="false">E9/$E$14*'Module 4 Flood-Landslide POD'!$BB$28</f>
        <v>120960</v>
      </c>
    </row>
    <row r="10" customFormat="false" ht="45.75" hidden="false" customHeight="true" outlineLevel="0" collapsed="false">
      <c r="B10" s="64" t="s">
        <v>156</v>
      </c>
      <c r="C10" s="38" t="s">
        <v>157</v>
      </c>
      <c r="D10" s="65" t="s">
        <v>158</v>
      </c>
      <c r="E10" s="39" t="n">
        <v>24</v>
      </c>
      <c r="F10" s="66" t="n">
        <f aca="false">E10/$E$14</f>
        <v>0.125260960334029</v>
      </c>
      <c r="G10" s="67" t="n">
        <f aca="false">E10/$E$14*'Module 4 Flood-Landslide POD'!$BB$28</f>
        <v>161280</v>
      </c>
    </row>
    <row r="11" customFormat="false" ht="45.75" hidden="false" customHeight="true" outlineLevel="0" collapsed="false">
      <c r="B11" s="64" t="s">
        <v>159</v>
      </c>
      <c r="C11" s="38" t="s">
        <v>160</v>
      </c>
      <c r="D11" s="65" t="s">
        <v>161</v>
      </c>
      <c r="E11" s="39" t="n">
        <v>16</v>
      </c>
      <c r="F11" s="66" t="n">
        <f aca="false">E11/$E$14</f>
        <v>0.0835073068893528</v>
      </c>
      <c r="G11" s="67" t="n">
        <f aca="false">E11/$E$14*'Module 4 Flood-Landslide POD'!$BB$28</f>
        <v>107520</v>
      </c>
    </row>
    <row r="12" customFormat="false" ht="45.75" hidden="false" customHeight="true" outlineLevel="0" collapsed="false">
      <c r="B12" s="64" t="s">
        <v>162</v>
      </c>
      <c r="C12" s="38" t="s">
        <v>163</v>
      </c>
      <c r="D12" s="65" t="s">
        <v>164</v>
      </c>
      <c r="E12" s="39" t="n">
        <v>14</v>
      </c>
      <c r="F12" s="66" t="n">
        <f aca="false">E12/$E$14</f>
        <v>0.0730688935281837</v>
      </c>
      <c r="G12" s="67" t="n">
        <f aca="false">E12/$E$14*'Module 4 Flood-Landslide POD'!$BB$28</f>
        <v>94080</v>
      </c>
    </row>
    <row r="13" customFormat="false" ht="45.75" hidden="false" customHeight="true" outlineLevel="0" collapsed="false">
      <c r="B13" s="64" t="s">
        <v>162</v>
      </c>
      <c r="C13" s="38" t="s">
        <v>165</v>
      </c>
      <c r="D13" s="65" t="s">
        <v>166</v>
      </c>
      <c r="E13" s="39" t="n">
        <v>17.6</v>
      </c>
      <c r="F13" s="66" t="n">
        <f aca="false">E13/$E$14</f>
        <v>0.0918580375782881</v>
      </c>
      <c r="G13" s="67" t="n">
        <f aca="false">E13/$E$14*'Module 4 Flood-Landslide POD'!$BB$28</f>
        <v>118272</v>
      </c>
    </row>
    <row r="14" customFormat="false" ht="15" hidden="false" customHeight="true" outlineLevel="0" collapsed="false">
      <c r="B14" s="28" t="s">
        <v>167</v>
      </c>
      <c r="C14" s="28"/>
      <c r="D14" s="28"/>
      <c r="E14" s="29" t="n">
        <f aca="false">SUM(E6:E13)</f>
        <v>191.6</v>
      </c>
      <c r="F14" s="68" t="n">
        <f aca="false">SUM(F6:F13)</f>
        <v>1</v>
      </c>
      <c r="G14" s="69" t="n">
        <f aca="false">'Module 4 Flood-Landslide POD'!$BB$28</f>
        <v>1287552</v>
      </c>
    </row>
    <row r="16" customFormat="false" ht="15" hidden="false" customHeight="true" outlineLevel="0" collapsed="false">
      <c r="B16" s="63" t="s">
        <v>168</v>
      </c>
      <c r="C16" s="63"/>
      <c r="D16" s="63"/>
      <c r="E16" s="63"/>
      <c r="F16" s="63"/>
      <c r="G16" s="63"/>
    </row>
  </sheetData>
  <mergeCells count="4">
    <mergeCell ref="B2:G2"/>
    <mergeCell ref="B3:G3"/>
    <mergeCell ref="B14:D14"/>
    <mergeCell ref="B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11"/>
    <col collapsed="false" customWidth="true" hidden="false" outlineLevel="0" max="51" min="4" style="0" width="3.3"/>
    <col collapsed="false" customWidth="true" hidden="false" outlineLevel="0" max="52" min="52" style="0" width="11"/>
    <col collapsed="false" customWidth="true" hidden="false" outlineLevel="0" max="53" min="53" style="0" width="9"/>
    <col collapsed="false" customWidth="true" hidden="false" outlineLevel="0" max="54" min="54" style="0" width="14"/>
  </cols>
  <sheetData>
    <row r="1" customFormat="false" ht="15" hidden="false" customHeight="true" outlineLevel="0" collapsed="false">
      <c r="A1" s="16" t="s">
        <v>44</v>
      </c>
      <c r="B1" s="16"/>
      <c r="C1" s="16"/>
      <c r="D1" s="16" t="s">
        <v>45</v>
      </c>
      <c r="E1" s="16"/>
      <c r="F1" s="16"/>
      <c r="G1" s="16"/>
      <c r="H1" s="16" t="s">
        <v>46</v>
      </c>
      <c r="I1" s="16"/>
      <c r="J1" s="16"/>
      <c r="K1" s="16"/>
      <c r="L1" s="16" t="s">
        <v>47</v>
      </c>
      <c r="M1" s="16"/>
      <c r="N1" s="16"/>
      <c r="O1" s="16"/>
      <c r="P1" s="16" t="s">
        <v>48</v>
      </c>
      <c r="Q1" s="16"/>
      <c r="R1" s="16"/>
      <c r="S1" s="16"/>
      <c r="T1" s="16" t="s">
        <v>49</v>
      </c>
      <c r="U1" s="16"/>
      <c r="V1" s="16"/>
      <c r="W1" s="16"/>
      <c r="X1" s="16" t="s">
        <v>50</v>
      </c>
      <c r="Y1" s="16"/>
      <c r="Z1" s="16"/>
      <c r="AA1" s="16"/>
      <c r="AB1" s="16" t="s">
        <v>51</v>
      </c>
      <c r="AC1" s="16"/>
      <c r="AD1" s="16"/>
      <c r="AE1" s="16"/>
      <c r="AF1" s="16" t="s">
        <v>52</v>
      </c>
      <c r="AG1" s="16"/>
      <c r="AH1" s="16"/>
      <c r="AI1" s="16"/>
      <c r="AJ1" s="16" t="s">
        <v>53</v>
      </c>
      <c r="AK1" s="16"/>
      <c r="AL1" s="16"/>
      <c r="AM1" s="16"/>
      <c r="AN1" s="16" t="s">
        <v>54</v>
      </c>
      <c r="AO1" s="16"/>
      <c r="AP1" s="16"/>
      <c r="AQ1" s="16"/>
      <c r="AR1" s="16" t="s">
        <v>55</v>
      </c>
      <c r="AS1" s="16"/>
      <c r="AT1" s="16"/>
      <c r="AU1" s="16"/>
      <c r="AV1" s="16" t="s">
        <v>56</v>
      </c>
      <c r="AW1" s="16"/>
      <c r="AX1" s="16"/>
      <c r="AY1" s="16"/>
    </row>
    <row r="2" customFormat="false" ht="15.75" hidden="false" customHeight="true" outlineLevel="0" collapsed="false">
      <c r="A2" s="2" t="s">
        <v>169</v>
      </c>
      <c r="B2" s="2"/>
      <c r="C2" s="2"/>
      <c r="D2" s="70"/>
      <c r="E2" s="70"/>
      <c r="F2" s="70"/>
      <c r="G2" s="70"/>
      <c r="H2" s="70"/>
      <c r="I2" s="70"/>
      <c r="J2" s="70"/>
      <c r="K2" s="70"/>
    </row>
    <row r="3" customFormat="false" ht="15.75" hidden="false" customHeight="true" outlineLevel="0" collapsed="false">
      <c r="A3" s="2" t="s">
        <v>170</v>
      </c>
      <c r="B3" s="2"/>
      <c r="C3" s="2"/>
      <c r="H3" s="71"/>
      <c r="I3" s="71"/>
      <c r="J3" s="71"/>
      <c r="K3" s="71"/>
      <c r="L3" s="71"/>
      <c r="M3" s="71"/>
      <c r="N3" s="71"/>
      <c r="O3" s="71"/>
      <c r="P3" s="71"/>
      <c r="Q3" s="71"/>
      <c r="R3" s="71"/>
      <c r="S3" s="71"/>
      <c r="T3" s="71"/>
      <c r="U3" s="71"/>
      <c r="V3" s="71"/>
      <c r="W3" s="71"/>
    </row>
    <row r="4" customFormat="false" ht="15.75" hidden="false" customHeight="true" outlineLevel="0" collapsed="false">
      <c r="A4" s="2" t="s">
        <v>171</v>
      </c>
      <c r="B4" s="2"/>
      <c r="C4" s="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row>
    <row r="5" customFormat="false" ht="15.75" hidden="false" customHeight="true" outlineLevel="0" collapsed="false">
      <c r="A5" s="2" t="s">
        <v>172</v>
      </c>
      <c r="B5" s="2"/>
      <c r="C5" s="2"/>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row>
    <row r="6" customFormat="false" ht="15.75" hidden="false" customHeight="true" outlineLevel="0" collapsed="false">
      <c r="A6" s="2" t="s">
        <v>173</v>
      </c>
      <c r="B6" s="2"/>
      <c r="C6" s="2"/>
      <c r="T6" s="74"/>
      <c r="U6" s="74"/>
      <c r="V6" s="74"/>
      <c r="W6" s="74"/>
      <c r="X6" s="74"/>
      <c r="Y6" s="74"/>
      <c r="Z6" s="74"/>
      <c r="AA6" s="74"/>
      <c r="AB6" s="74"/>
      <c r="AC6" s="74"/>
      <c r="AD6" s="74"/>
      <c r="AE6" s="74"/>
      <c r="AF6" s="74"/>
      <c r="AG6" s="74"/>
      <c r="AH6" s="74"/>
      <c r="AI6" s="74"/>
      <c r="AJ6" s="74"/>
      <c r="AK6" s="74"/>
      <c r="AL6" s="74"/>
      <c r="AM6" s="74"/>
      <c r="AN6" s="74"/>
      <c r="AO6" s="74"/>
      <c r="AP6" s="74"/>
      <c r="AQ6" s="74"/>
    </row>
    <row r="7" customFormat="false" ht="15.75" hidden="false" customHeight="true" outlineLevel="0" collapsed="false">
      <c r="A7" s="2" t="s">
        <v>174</v>
      </c>
      <c r="B7" s="2"/>
      <c r="C7" s="2"/>
      <c r="X7" s="75"/>
      <c r="Y7" s="75"/>
      <c r="Z7" s="75"/>
      <c r="AA7" s="75"/>
      <c r="AB7" s="75"/>
      <c r="AC7" s="75"/>
      <c r="AD7" s="75"/>
      <c r="AE7" s="75"/>
      <c r="AF7" s="75"/>
      <c r="AG7" s="75"/>
      <c r="AH7" s="75"/>
      <c r="AI7" s="75"/>
      <c r="AJ7" s="75"/>
      <c r="AK7" s="75"/>
      <c r="AL7" s="75"/>
      <c r="AM7" s="75"/>
      <c r="AN7" s="75"/>
      <c r="AO7" s="75"/>
      <c r="AP7" s="75"/>
      <c r="AQ7" s="75"/>
      <c r="AR7" s="75"/>
      <c r="AS7" s="75"/>
      <c r="AT7" s="75"/>
      <c r="AU7" s="75"/>
    </row>
    <row r="8" customFormat="false" ht="15.75" hidden="false" customHeight="true" outlineLevel="0" collapsed="false">
      <c r="A8" s="2" t="s">
        <v>175</v>
      </c>
      <c r="B8" s="2"/>
      <c r="C8" s="2"/>
      <c r="AF8" s="76"/>
      <c r="AG8" s="76"/>
      <c r="AH8" s="76"/>
      <c r="AI8" s="76"/>
      <c r="AJ8" s="76"/>
      <c r="AK8" s="76"/>
      <c r="AL8" s="76"/>
      <c r="AM8" s="76"/>
      <c r="AN8" s="76"/>
      <c r="AO8" s="76"/>
      <c r="AP8" s="76"/>
      <c r="AQ8" s="76"/>
      <c r="AR8" s="76"/>
      <c r="AS8" s="76"/>
      <c r="AT8" s="76"/>
      <c r="AU8" s="76"/>
    </row>
    <row r="9" customFormat="false" ht="15.75" hidden="false" customHeight="true" outlineLevel="0" collapsed="false">
      <c r="A9" s="2" t="s">
        <v>176</v>
      </c>
      <c r="B9" s="2"/>
      <c r="C9" s="2"/>
      <c r="AR9" s="77"/>
      <c r="AS9" s="77"/>
      <c r="AT9" s="77"/>
      <c r="AU9" s="77"/>
      <c r="AV9" s="77"/>
      <c r="AW9" s="77"/>
      <c r="AX9" s="77"/>
      <c r="AY9" s="77"/>
    </row>
    <row r="11" customFormat="false" ht="25.5" hidden="false" customHeight="true" outlineLevel="0" collapsed="false">
      <c r="A11" s="16" t="s">
        <v>63</v>
      </c>
      <c r="B11" s="16" t="s">
        <v>4</v>
      </c>
      <c r="C11" s="16" t="s">
        <v>64</v>
      </c>
      <c r="D11" s="16" t="s">
        <v>45</v>
      </c>
      <c r="E11" s="16"/>
      <c r="F11" s="16"/>
      <c r="G11" s="16"/>
      <c r="H11" s="16" t="s">
        <v>46</v>
      </c>
      <c r="I11" s="16"/>
      <c r="J11" s="16"/>
      <c r="K11" s="16"/>
      <c r="L11" s="16" t="s">
        <v>47</v>
      </c>
      <c r="M11" s="16"/>
      <c r="N11" s="16"/>
      <c r="O11" s="16"/>
      <c r="P11" s="16" t="s">
        <v>48</v>
      </c>
      <c r="Q11" s="16"/>
      <c r="R11" s="16"/>
      <c r="S11" s="16"/>
      <c r="T11" s="16" t="s">
        <v>49</v>
      </c>
      <c r="U11" s="16"/>
      <c r="V11" s="16"/>
      <c r="W11" s="16"/>
      <c r="X11" s="16" t="s">
        <v>50</v>
      </c>
      <c r="Y11" s="16"/>
      <c r="Z11" s="16"/>
      <c r="AA11" s="16"/>
      <c r="AB11" s="16" t="s">
        <v>51</v>
      </c>
      <c r="AC11" s="16"/>
      <c r="AD11" s="16"/>
      <c r="AE11" s="16"/>
      <c r="AF11" s="16" t="s">
        <v>52</v>
      </c>
      <c r="AG11" s="16"/>
      <c r="AH11" s="16"/>
      <c r="AI11" s="16"/>
      <c r="AJ11" s="16" t="s">
        <v>53</v>
      </c>
      <c r="AK11" s="16"/>
      <c r="AL11" s="16"/>
      <c r="AM11" s="16"/>
      <c r="AN11" s="16" t="s">
        <v>54</v>
      </c>
      <c r="AO11" s="16"/>
      <c r="AP11" s="16"/>
      <c r="AQ11" s="16"/>
      <c r="AR11" s="16" t="s">
        <v>55</v>
      </c>
      <c r="AS11" s="16"/>
      <c r="AT11" s="16"/>
      <c r="AU11" s="16"/>
      <c r="AV11" s="16" t="s">
        <v>56</v>
      </c>
      <c r="AW11" s="16"/>
      <c r="AX11" s="16"/>
      <c r="AY11" s="16"/>
      <c r="AZ11" s="16" t="s">
        <v>65</v>
      </c>
      <c r="BA11" s="16" t="s">
        <v>66</v>
      </c>
      <c r="BB11" s="16" t="s">
        <v>67</v>
      </c>
    </row>
    <row r="12" customFormat="false" ht="15" hidden="false" customHeight="false" outlineLevel="0" collapsed="false">
      <c r="A12" s="22" t="s">
        <v>22</v>
      </c>
      <c r="B12" s="23" t="s">
        <v>5</v>
      </c>
      <c r="C12" s="22" t="s">
        <v>68</v>
      </c>
      <c r="D12" s="24" t="n">
        <v>0.5</v>
      </c>
      <c r="E12" s="24"/>
      <c r="F12" s="24"/>
      <c r="G12" s="24"/>
      <c r="H12" s="24" t="n">
        <v>0.5</v>
      </c>
      <c r="I12" s="24"/>
      <c r="J12" s="24"/>
      <c r="K12" s="24"/>
      <c r="L12" s="24" t="n">
        <v>0.3</v>
      </c>
      <c r="M12" s="24"/>
      <c r="N12" s="24"/>
      <c r="O12" s="24"/>
      <c r="P12" s="24" t="n">
        <v>0.2</v>
      </c>
      <c r="Q12" s="24"/>
      <c r="R12" s="24"/>
      <c r="S12" s="24"/>
      <c r="T12" s="24" t="n">
        <v>0.2</v>
      </c>
      <c r="U12" s="24"/>
      <c r="V12" s="24"/>
      <c r="W12" s="24"/>
      <c r="X12" s="24" t="n">
        <v>0.2</v>
      </c>
      <c r="Y12" s="24"/>
      <c r="Z12" s="24"/>
      <c r="AA12" s="24"/>
      <c r="AB12" s="24" t="n">
        <v>0.2</v>
      </c>
      <c r="AC12" s="24"/>
      <c r="AD12" s="24"/>
      <c r="AE12" s="24"/>
      <c r="AF12" s="24" t="n">
        <v>0.2</v>
      </c>
      <c r="AG12" s="24"/>
      <c r="AH12" s="24"/>
      <c r="AI12" s="24"/>
      <c r="AJ12" s="24" t="n">
        <v>0.2</v>
      </c>
      <c r="AK12" s="24"/>
      <c r="AL12" s="24"/>
      <c r="AM12" s="24"/>
      <c r="AN12" s="24" t="n">
        <v>0.2</v>
      </c>
      <c r="AO12" s="24"/>
      <c r="AP12" s="24"/>
      <c r="AQ12" s="24"/>
      <c r="AR12" s="24" t="n">
        <v>0.2</v>
      </c>
      <c r="AS12" s="24"/>
      <c r="AT12" s="24"/>
      <c r="AU12" s="24"/>
      <c r="AV12" s="24" t="n">
        <v>0.2</v>
      </c>
      <c r="AW12" s="24"/>
      <c r="AX12" s="24"/>
      <c r="AY12" s="24"/>
      <c r="AZ12" s="25" t="n">
        <f aca="false">SUM(D12:AY12)</f>
        <v>3.1</v>
      </c>
      <c r="BA12" s="78" t="n">
        <v>40</v>
      </c>
      <c r="BB12" s="79" t="n">
        <f aca="false">AZ12*BA12*$BB$30</f>
        <v>20832</v>
      </c>
    </row>
    <row r="13" customFormat="false" ht="15" hidden="false" customHeight="false" outlineLevel="0" collapsed="false">
      <c r="A13" s="22" t="s">
        <v>69</v>
      </c>
      <c r="B13" s="23" t="s">
        <v>5</v>
      </c>
      <c r="C13" s="22" t="s">
        <v>68</v>
      </c>
      <c r="D13" s="24" t="n">
        <v>1</v>
      </c>
      <c r="E13" s="24"/>
      <c r="F13" s="24"/>
      <c r="G13" s="24"/>
      <c r="H13" s="24" t="n">
        <v>1</v>
      </c>
      <c r="I13" s="24"/>
      <c r="J13" s="24"/>
      <c r="K13" s="24"/>
      <c r="L13" s="24" t="n">
        <v>1</v>
      </c>
      <c r="M13" s="24"/>
      <c r="N13" s="24"/>
      <c r="O13" s="24"/>
      <c r="P13" s="24" t="n">
        <v>1</v>
      </c>
      <c r="Q13" s="24"/>
      <c r="R13" s="24"/>
      <c r="S13" s="24"/>
      <c r="T13" s="24" t="n">
        <v>1</v>
      </c>
      <c r="U13" s="24"/>
      <c r="V13" s="24"/>
      <c r="W13" s="24"/>
      <c r="X13" s="24" t="n">
        <v>1</v>
      </c>
      <c r="Y13" s="24"/>
      <c r="Z13" s="24"/>
      <c r="AA13" s="24"/>
      <c r="AB13" s="24" t="n">
        <v>1</v>
      </c>
      <c r="AC13" s="24"/>
      <c r="AD13" s="24"/>
      <c r="AE13" s="24"/>
      <c r="AF13" s="24" t="n">
        <v>1</v>
      </c>
      <c r="AG13" s="24"/>
      <c r="AH13" s="24"/>
      <c r="AI13" s="24"/>
      <c r="AJ13" s="24" t="n">
        <v>1</v>
      </c>
      <c r="AK13" s="24"/>
      <c r="AL13" s="24"/>
      <c r="AM13" s="24"/>
      <c r="AN13" s="24" t="n">
        <v>1</v>
      </c>
      <c r="AO13" s="24"/>
      <c r="AP13" s="24"/>
      <c r="AQ13" s="24"/>
      <c r="AR13" s="24" t="n">
        <v>1</v>
      </c>
      <c r="AS13" s="24"/>
      <c r="AT13" s="24"/>
      <c r="AU13" s="24"/>
      <c r="AV13" s="24" t="n">
        <v>1</v>
      </c>
      <c r="AW13" s="24"/>
      <c r="AX13" s="24"/>
      <c r="AY13" s="24"/>
      <c r="AZ13" s="25" t="n">
        <f aca="false">SUM(D13:AY13)</f>
        <v>12</v>
      </c>
      <c r="BA13" s="78" t="n">
        <v>40</v>
      </c>
      <c r="BB13" s="79" t="n">
        <f aca="false">AZ13*BA13*$BB$30</f>
        <v>80640</v>
      </c>
    </row>
    <row r="14" customFormat="false" ht="15" hidden="false" customHeight="false" outlineLevel="0" collapsed="false">
      <c r="A14" s="22" t="s">
        <v>70</v>
      </c>
      <c r="B14" s="23" t="s">
        <v>5</v>
      </c>
      <c r="C14" s="22" t="s">
        <v>68</v>
      </c>
      <c r="D14" s="24" t="n">
        <v>1</v>
      </c>
      <c r="E14" s="24"/>
      <c r="F14" s="24"/>
      <c r="G14" s="24"/>
      <c r="H14" s="24" t="n">
        <v>1</v>
      </c>
      <c r="I14" s="24"/>
      <c r="J14" s="24"/>
      <c r="K14" s="24"/>
      <c r="L14" s="24" t="n">
        <v>1</v>
      </c>
      <c r="M14" s="24"/>
      <c r="N14" s="24"/>
      <c r="O14" s="24"/>
      <c r="P14" s="24" t="n">
        <v>1</v>
      </c>
      <c r="Q14" s="24"/>
      <c r="R14" s="24"/>
      <c r="S14" s="24"/>
      <c r="T14" s="24" t="n">
        <v>1</v>
      </c>
      <c r="U14" s="24"/>
      <c r="V14" s="24"/>
      <c r="W14" s="24"/>
      <c r="X14" s="24" t="n">
        <v>1</v>
      </c>
      <c r="Y14" s="24"/>
      <c r="Z14" s="24"/>
      <c r="AA14" s="24"/>
      <c r="AB14" s="24" t="n">
        <v>1</v>
      </c>
      <c r="AC14" s="24"/>
      <c r="AD14" s="24"/>
      <c r="AE14" s="24"/>
      <c r="AF14" s="24" t="n">
        <v>0.5</v>
      </c>
      <c r="AG14" s="24"/>
      <c r="AH14" s="24"/>
      <c r="AI14" s="24"/>
      <c r="AJ14" s="24" t="n">
        <v>0.5</v>
      </c>
      <c r="AK14" s="24"/>
      <c r="AL14" s="24"/>
      <c r="AM14" s="24"/>
      <c r="AN14" s="24" t="n">
        <v>0.5</v>
      </c>
      <c r="AO14" s="24"/>
      <c r="AP14" s="24"/>
      <c r="AQ14" s="24"/>
      <c r="AR14" s="24" t="n">
        <v>0.5</v>
      </c>
      <c r="AS14" s="24"/>
      <c r="AT14" s="24"/>
      <c r="AU14" s="24"/>
      <c r="AV14" s="24" t="n">
        <v>0.5</v>
      </c>
      <c r="AW14" s="24"/>
      <c r="AX14" s="24"/>
      <c r="AY14" s="24"/>
      <c r="AZ14" s="25" t="n">
        <f aca="false">SUM(D14:AY14)</f>
        <v>9.5</v>
      </c>
      <c r="BA14" s="78" t="n">
        <v>40</v>
      </c>
      <c r="BB14" s="79" t="n">
        <f aca="false">AZ14*BA14*$BB$30</f>
        <v>63840</v>
      </c>
    </row>
    <row r="15" customFormat="false" ht="15" hidden="false" customHeight="false" outlineLevel="0" collapsed="false">
      <c r="A15" s="22" t="s">
        <v>71</v>
      </c>
      <c r="B15" s="23" t="s">
        <v>5</v>
      </c>
      <c r="C15" s="22" t="s">
        <v>68</v>
      </c>
      <c r="D15" s="24" t="n">
        <v>1</v>
      </c>
      <c r="E15" s="24"/>
      <c r="F15" s="24"/>
      <c r="G15" s="24"/>
      <c r="H15" s="24" t="n">
        <v>1</v>
      </c>
      <c r="I15" s="24"/>
      <c r="J15" s="24"/>
      <c r="K15" s="24"/>
      <c r="L15" s="24" t="n">
        <v>1</v>
      </c>
      <c r="M15" s="24"/>
      <c r="N15" s="24"/>
      <c r="O15" s="24"/>
      <c r="P15" s="24" t="n">
        <v>1</v>
      </c>
      <c r="Q15" s="24"/>
      <c r="R15" s="24"/>
      <c r="S15" s="24"/>
      <c r="T15" s="24" t="n">
        <v>1</v>
      </c>
      <c r="U15" s="24"/>
      <c r="V15" s="24"/>
      <c r="W15" s="24"/>
      <c r="X15" s="24" t="n">
        <v>1</v>
      </c>
      <c r="Y15" s="24"/>
      <c r="Z15" s="24"/>
      <c r="AA15" s="24"/>
      <c r="AB15" s="24" t="n">
        <v>1</v>
      </c>
      <c r="AC15" s="24"/>
      <c r="AD15" s="24"/>
      <c r="AE15" s="24"/>
      <c r="AF15" s="24" t="n">
        <v>1</v>
      </c>
      <c r="AG15" s="24"/>
      <c r="AH15" s="24"/>
      <c r="AI15" s="24"/>
      <c r="AJ15" s="24" t="n">
        <v>1</v>
      </c>
      <c r="AK15" s="24"/>
      <c r="AL15" s="24"/>
      <c r="AM15" s="24"/>
      <c r="AN15" s="24" t="n">
        <v>1</v>
      </c>
      <c r="AO15" s="24"/>
      <c r="AP15" s="24"/>
      <c r="AQ15" s="24"/>
      <c r="AR15" s="24" t="n">
        <v>1</v>
      </c>
      <c r="AS15" s="24"/>
      <c r="AT15" s="24"/>
      <c r="AU15" s="24"/>
      <c r="AV15" s="24" t="n">
        <v>1</v>
      </c>
      <c r="AW15" s="24"/>
      <c r="AX15" s="24"/>
      <c r="AY15" s="24"/>
      <c r="AZ15" s="25" t="n">
        <f aca="false">SUM(D15:AY15)</f>
        <v>12</v>
      </c>
      <c r="BA15" s="78" t="n">
        <v>40</v>
      </c>
      <c r="BB15" s="79" t="n">
        <f aca="false">AZ15*BA15*$BB$30</f>
        <v>80640</v>
      </c>
    </row>
    <row r="16" customFormat="false" ht="15" hidden="false" customHeight="false" outlineLevel="0" collapsed="false">
      <c r="A16" s="22" t="s">
        <v>72</v>
      </c>
      <c r="B16" s="23" t="s">
        <v>5</v>
      </c>
      <c r="C16" s="22" t="s">
        <v>68</v>
      </c>
      <c r="D16" s="24"/>
      <c r="E16" s="24"/>
      <c r="F16" s="24"/>
      <c r="G16" s="24"/>
      <c r="H16" s="24"/>
      <c r="I16" s="24"/>
      <c r="J16" s="24"/>
      <c r="K16" s="24"/>
      <c r="L16" s="24" t="n">
        <v>1</v>
      </c>
      <c r="M16" s="24"/>
      <c r="N16" s="24"/>
      <c r="O16" s="24"/>
      <c r="P16" s="24" t="n">
        <v>1</v>
      </c>
      <c r="Q16" s="24"/>
      <c r="R16" s="24"/>
      <c r="S16" s="24"/>
      <c r="T16" s="24" t="n">
        <v>1</v>
      </c>
      <c r="U16" s="24"/>
      <c r="V16" s="24"/>
      <c r="W16" s="24"/>
      <c r="X16" s="24" t="n">
        <v>1</v>
      </c>
      <c r="Y16" s="24"/>
      <c r="Z16" s="24"/>
      <c r="AA16" s="24"/>
      <c r="AB16" s="24" t="n">
        <v>0.5</v>
      </c>
      <c r="AC16" s="24"/>
      <c r="AD16" s="24"/>
      <c r="AE16" s="24"/>
      <c r="AF16" s="24" t="n">
        <v>0.5</v>
      </c>
      <c r="AG16" s="24"/>
      <c r="AH16" s="24"/>
      <c r="AI16" s="24"/>
      <c r="AJ16" s="24" t="n">
        <v>0.5</v>
      </c>
      <c r="AK16" s="24"/>
      <c r="AL16" s="24"/>
      <c r="AM16" s="24"/>
      <c r="AN16" s="24" t="n">
        <v>0.5</v>
      </c>
      <c r="AO16" s="24"/>
      <c r="AP16" s="24"/>
      <c r="AQ16" s="24"/>
      <c r="AR16" s="24"/>
      <c r="AS16" s="24"/>
      <c r="AT16" s="24"/>
      <c r="AU16" s="24"/>
      <c r="AV16" s="24"/>
      <c r="AW16" s="24"/>
      <c r="AX16" s="24"/>
      <c r="AY16" s="24"/>
      <c r="AZ16" s="25" t="n">
        <f aca="false">SUM(D16:AY16)</f>
        <v>6</v>
      </c>
      <c r="BA16" s="78" t="n">
        <v>40</v>
      </c>
      <c r="BB16" s="79" t="n">
        <f aca="false">AZ16*BA16*$BB$30</f>
        <v>40320</v>
      </c>
    </row>
    <row r="17" customFormat="false" ht="15" hidden="false" customHeight="false" outlineLevel="0" collapsed="false">
      <c r="A17" s="22" t="s">
        <v>73</v>
      </c>
      <c r="B17" s="23" t="s">
        <v>5</v>
      </c>
      <c r="C17" s="22" t="s">
        <v>68</v>
      </c>
      <c r="D17" s="24"/>
      <c r="E17" s="24"/>
      <c r="F17" s="24"/>
      <c r="G17" s="24"/>
      <c r="H17" s="24"/>
      <c r="I17" s="24"/>
      <c r="J17" s="24"/>
      <c r="K17" s="24"/>
      <c r="L17" s="24" t="n">
        <v>1</v>
      </c>
      <c r="M17" s="24"/>
      <c r="N17" s="24"/>
      <c r="O17" s="24"/>
      <c r="P17" s="24" t="n">
        <v>1</v>
      </c>
      <c r="Q17" s="24"/>
      <c r="R17" s="24"/>
      <c r="S17" s="24"/>
      <c r="T17" s="24" t="n">
        <v>1</v>
      </c>
      <c r="U17" s="24"/>
      <c r="V17" s="24"/>
      <c r="W17" s="24"/>
      <c r="X17" s="24" t="n">
        <v>1</v>
      </c>
      <c r="Y17" s="24"/>
      <c r="Z17" s="24"/>
      <c r="AA17" s="24"/>
      <c r="AB17" s="24" t="n">
        <v>1</v>
      </c>
      <c r="AC17" s="24"/>
      <c r="AD17" s="24"/>
      <c r="AE17" s="24"/>
      <c r="AF17" s="24" t="n">
        <v>1</v>
      </c>
      <c r="AG17" s="24"/>
      <c r="AH17" s="24"/>
      <c r="AI17" s="24"/>
      <c r="AJ17" s="24" t="n">
        <v>1</v>
      </c>
      <c r="AK17" s="24"/>
      <c r="AL17" s="24"/>
      <c r="AM17" s="24"/>
      <c r="AN17" s="24" t="n">
        <v>0.5</v>
      </c>
      <c r="AO17" s="24"/>
      <c r="AP17" s="24"/>
      <c r="AQ17" s="24"/>
      <c r="AR17" s="24" t="n">
        <v>0.5</v>
      </c>
      <c r="AS17" s="24"/>
      <c r="AT17" s="24"/>
      <c r="AU17" s="24"/>
      <c r="AV17" s="24"/>
      <c r="AW17" s="24"/>
      <c r="AX17" s="24"/>
      <c r="AY17" s="24"/>
      <c r="AZ17" s="25" t="n">
        <f aca="false">SUM(D17:AY17)</f>
        <v>8</v>
      </c>
      <c r="BA17" s="78" t="n">
        <v>40</v>
      </c>
      <c r="BB17" s="79" t="n">
        <f aca="false">AZ17*BA17*$BB$30</f>
        <v>53760</v>
      </c>
    </row>
    <row r="18" customFormat="false" ht="15" hidden="false" customHeight="false" outlineLevel="0" collapsed="false">
      <c r="A18" s="22" t="s">
        <v>74</v>
      </c>
      <c r="B18" s="23" t="s">
        <v>5</v>
      </c>
      <c r="C18" s="22" t="s">
        <v>68</v>
      </c>
      <c r="D18" s="24" t="n">
        <v>1</v>
      </c>
      <c r="E18" s="24"/>
      <c r="F18" s="24"/>
      <c r="G18" s="24"/>
      <c r="H18" s="24" t="n">
        <v>1</v>
      </c>
      <c r="I18" s="24"/>
      <c r="J18" s="24"/>
      <c r="K18" s="24"/>
      <c r="L18" s="24" t="n">
        <v>2</v>
      </c>
      <c r="M18" s="24"/>
      <c r="N18" s="24"/>
      <c r="O18" s="24"/>
      <c r="P18" s="24" t="n">
        <v>2</v>
      </c>
      <c r="Q18" s="24"/>
      <c r="R18" s="24"/>
      <c r="S18" s="24"/>
      <c r="T18" s="24" t="n">
        <v>2</v>
      </c>
      <c r="U18" s="24"/>
      <c r="V18" s="24"/>
      <c r="W18" s="24"/>
      <c r="X18" s="24" t="n">
        <v>2</v>
      </c>
      <c r="Y18" s="24"/>
      <c r="Z18" s="24"/>
      <c r="AA18" s="24"/>
      <c r="AB18" s="24" t="n">
        <v>2</v>
      </c>
      <c r="AC18" s="24"/>
      <c r="AD18" s="24"/>
      <c r="AE18" s="24"/>
      <c r="AF18" s="24" t="n">
        <v>2</v>
      </c>
      <c r="AG18" s="24"/>
      <c r="AH18" s="24"/>
      <c r="AI18" s="24"/>
      <c r="AJ18" s="24" t="n">
        <v>2</v>
      </c>
      <c r="AK18" s="24"/>
      <c r="AL18" s="24"/>
      <c r="AM18" s="24"/>
      <c r="AN18" s="24" t="n">
        <v>2</v>
      </c>
      <c r="AO18" s="24"/>
      <c r="AP18" s="24"/>
      <c r="AQ18" s="24"/>
      <c r="AR18" s="24" t="n">
        <v>1</v>
      </c>
      <c r="AS18" s="24"/>
      <c r="AT18" s="24"/>
      <c r="AU18" s="24"/>
      <c r="AV18" s="24" t="n">
        <v>1</v>
      </c>
      <c r="AW18" s="24"/>
      <c r="AX18" s="24"/>
      <c r="AY18" s="24"/>
      <c r="AZ18" s="25" t="n">
        <f aca="false">SUM(D18:AY18)</f>
        <v>20</v>
      </c>
      <c r="BA18" s="78" t="n">
        <v>40</v>
      </c>
      <c r="BB18" s="79" t="n">
        <f aca="false">AZ18*BA18*$BB$30</f>
        <v>134400</v>
      </c>
    </row>
    <row r="19" customFormat="false" ht="15" hidden="false" customHeight="false" outlineLevel="0" collapsed="false">
      <c r="A19" s="22" t="s">
        <v>75</v>
      </c>
      <c r="B19" s="23" t="s">
        <v>5</v>
      </c>
      <c r="C19" s="22" t="s">
        <v>68</v>
      </c>
      <c r="D19" s="24" t="n">
        <v>1</v>
      </c>
      <c r="E19" s="24"/>
      <c r="F19" s="24"/>
      <c r="G19" s="24"/>
      <c r="H19" s="24" t="n">
        <v>2</v>
      </c>
      <c r="I19" s="24"/>
      <c r="J19" s="24"/>
      <c r="K19" s="24"/>
      <c r="L19" s="24" t="n">
        <v>3</v>
      </c>
      <c r="M19" s="24"/>
      <c r="N19" s="24"/>
      <c r="O19" s="24"/>
      <c r="P19" s="24" t="n">
        <v>4</v>
      </c>
      <c r="Q19" s="24"/>
      <c r="R19" s="24"/>
      <c r="S19" s="24"/>
      <c r="T19" s="24" t="n">
        <v>4</v>
      </c>
      <c r="U19" s="24"/>
      <c r="V19" s="24"/>
      <c r="W19" s="24"/>
      <c r="X19" s="24" t="n">
        <v>4</v>
      </c>
      <c r="Y19" s="24"/>
      <c r="Z19" s="24"/>
      <c r="AA19" s="24"/>
      <c r="AB19" s="24" t="n">
        <v>4</v>
      </c>
      <c r="AC19" s="24"/>
      <c r="AD19" s="24"/>
      <c r="AE19" s="24"/>
      <c r="AF19" s="24" t="n">
        <v>4</v>
      </c>
      <c r="AG19" s="24"/>
      <c r="AH19" s="24"/>
      <c r="AI19" s="24"/>
      <c r="AJ19" s="24" t="n">
        <v>3</v>
      </c>
      <c r="AK19" s="24"/>
      <c r="AL19" s="24"/>
      <c r="AM19" s="24"/>
      <c r="AN19" s="24" t="n">
        <v>3</v>
      </c>
      <c r="AO19" s="24"/>
      <c r="AP19" s="24"/>
      <c r="AQ19" s="24"/>
      <c r="AR19" s="24" t="n">
        <v>2</v>
      </c>
      <c r="AS19" s="24"/>
      <c r="AT19" s="24"/>
      <c r="AU19" s="24"/>
      <c r="AV19" s="24" t="n">
        <v>2</v>
      </c>
      <c r="AW19" s="24"/>
      <c r="AX19" s="24"/>
      <c r="AY19" s="24"/>
      <c r="AZ19" s="25" t="n">
        <f aca="false">SUM(D19:AY19)</f>
        <v>36</v>
      </c>
      <c r="BA19" s="78" t="n">
        <v>40</v>
      </c>
      <c r="BB19" s="79" t="n">
        <f aca="false">AZ19*BA19*$BB$30</f>
        <v>241920</v>
      </c>
    </row>
    <row r="20" customFormat="false" ht="15" hidden="false" customHeight="false" outlineLevel="0" collapsed="false">
      <c r="A20" s="22" t="s">
        <v>76</v>
      </c>
      <c r="B20" s="23" t="s">
        <v>5</v>
      </c>
      <c r="C20" s="22" t="s">
        <v>68</v>
      </c>
      <c r="D20" s="24" t="n">
        <v>1</v>
      </c>
      <c r="E20" s="24"/>
      <c r="F20" s="24"/>
      <c r="G20" s="24"/>
      <c r="H20" s="24" t="n">
        <v>1</v>
      </c>
      <c r="I20" s="24"/>
      <c r="J20" s="24"/>
      <c r="K20" s="24"/>
      <c r="L20" s="24" t="n">
        <v>1</v>
      </c>
      <c r="M20" s="24"/>
      <c r="N20" s="24"/>
      <c r="O20" s="24"/>
      <c r="P20" s="24" t="n">
        <v>1</v>
      </c>
      <c r="Q20" s="24"/>
      <c r="R20" s="24"/>
      <c r="S20" s="24"/>
      <c r="T20" s="24" t="n">
        <v>1</v>
      </c>
      <c r="U20" s="24"/>
      <c r="V20" s="24"/>
      <c r="W20" s="24"/>
      <c r="X20" s="24" t="n">
        <v>1</v>
      </c>
      <c r="Y20" s="24"/>
      <c r="Z20" s="24"/>
      <c r="AA20" s="24"/>
      <c r="AB20" s="24" t="n">
        <v>1</v>
      </c>
      <c r="AC20" s="24"/>
      <c r="AD20" s="24"/>
      <c r="AE20" s="24"/>
      <c r="AF20" s="24" t="n">
        <v>1</v>
      </c>
      <c r="AG20" s="24"/>
      <c r="AH20" s="24"/>
      <c r="AI20" s="24"/>
      <c r="AJ20" s="24" t="n">
        <v>1</v>
      </c>
      <c r="AK20" s="24"/>
      <c r="AL20" s="24"/>
      <c r="AM20" s="24"/>
      <c r="AN20" s="24" t="n">
        <v>1</v>
      </c>
      <c r="AO20" s="24"/>
      <c r="AP20" s="24"/>
      <c r="AQ20" s="24"/>
      <c r="AR20" s="24" t="n">
        <v>1</v>
      </c>
      <c r="AS20" s="24"/>
      <c r="AT20" s="24"/>
      <c r="AU20" s="24"/>
      <c r="AV20" s="24" t="n">
        <v>1</v>
      </c>
      <c r="AW20" s="24"/>
      <c r="AX20" s="24"/>
      <c r="AY20" s="24"/>
      <c r="AZ20" s="25" t="n">
        <f aca="false">SUM(D20:AY20)</f>
        <v>12</v>
      </c>
      <c r="BA20" s="78" t="n">
        <v>40</v>
      </c>
      <c r="BB20" s="79" t="n">
        <f aca="false">AZ20*BA20*$BB$30</f>
        <v>80640</v>
      </c>
    </row>
    <row r="21" customFormat="false" ht="15" hidden="false" customHeight="false" outlineLevel="0" collapsed="false">
      <c r="A21" s="22" t="s">
        <v>77</v>
      </c>
      <c r="B21" s="23" t="s">
        <v>5</v>
      </c>
      <c r="C21" s="22" t="s">
        <v>68</v>
      </c>
      <c r="D21" s="24" t="n">
        <v>1</v>
      </c>
      <c r="E21" s="24"/>
      <c r="F21" s="24"/>
      <c r="G21" s="24"/>
      <c r="H21" s="24" t="n">
        <v>2</v>
      </c>
      <c r="I21" s="24"/>
      <c r="J21" s="24"/>
      <c r="K21" s="24"/>
      <c r="L21" s="24" t="n">
        <v>2</v>
      </c>
      <c r="M21" s="24"/>
      <c r="N21" s="24"/>
      <c r="O21" s="24"/>
      <c r="P21" s="24" t="n">
        <v>2</v>
      </c>
      <c r="Q21" s="24"/>
      <c r="R21" s="24"/>
      <c r="S21" s="24"/>
      <c r="T21" s="24" t="n">
        <v>2</v>
      </c>
      <c r="U21" s="24"/>
      <c r="V21" s="24"/>
      <c r="W21" s="24"/>
      <c r="X21" s="24" t="n">
        <v>2</v>
      </c>
      <c r="Y21" s="24"/>
      <c r="Z21" s="24"/>
      <c r="AA21" s="24"/>
      <c r="AB21" s="24" t="n">
        <v>2</v>
      </c>
      <c r="AC21" s="24"/>
      <c r="AD21" s="24"/>
      <c r="AE21" s="24"/>
      <c r="AF21" s="24" t="n">
        <v>2</v>
      </c>
      <c r="AG21" s="24"/>
      <c r="AH21" s="24"/>
      <c r="AI21" s="24"/>
      <c r="AJ21" s="24" t="n">
        <v>2</v>
      </c>
      <c r="AK21" s="24"/>
      <c r="AL21" s="24"/>
      <c r="AM21" s="24"/>
      <c r="AN21" s="24" t="n">
        <v>2</v>
      </c>
      <c r="AO21" s="24"/>
      <c r="AP21" s="24"/>
      <c r="AQ21" s="24"/>
      <c r="AR21" s="24" t="n">
        <v>1</v>
      </c>
      <c r="AS21" s="24"/>
      <c r="AT21" s="24"/>
      <c r="AU21" s="24"/>
      <c r="AV21" s="24" t="n">
        <v>1</v>
      </c>
      <c r="AW21" s="24"/>
      <c r="AX21" s="24"/>
      <c r="AY21" s="24"/>
      <c r="AZ21" s="25" t="n">
        <f aca="false">SUM(D21:AY21)</f>
        <v>21</v>
      </c>
      <c r="BA21" s="78" t="n">
        <v>40</v>
      </c>
      <c r="BB21" s="79" t="n">
        <f aca="false">AZ21*BA21*$BB$30</f>
        <v>141120</v>
      </c>
    </row>
    <row r="22" customFormat="false" ht="15" hidden="false" customHeight="false" outlineLevel="0" collapsed="false">
      <c r="A22" s="22" t="s">
        <v>78</v>
      </c>
      <c r="B22" s="23" t="s">
        <v>5</v>
      </c>
      <c r="C22" s="22" t="s">
        <v>68</v>
      </c>
      <c r="D22" s="24"/>
      <c r="E22" s="24"/>
      <c r="F22" s="24"/>
      <c r="G22" s="24"/>
      <c r="H22" s="24" t="n">
        <v>1</v>
      </c>
      <c r="I22" s="24"/>
      <c r="J22" s="24"/>
      <c r="K22" s="24"/>
      <c r="L22" s="24" t="n">
        <v>2</v>
      </c>
      <c r="M22" s="24"/>
      <c r="N22" s="24"/>
      <c r="O22" s="24"/>
      <c r="P22" s="24" t="n">
        <v>2</v>
      </c>
      <c r="Q22" s="24"/>
      <c r="R22" s="24"/>
      <c r="S22" s="24"/>
      <c r="T22" s="24" t="n">
        <v>3</v>
      </c>
      <c r="U22" s="24"/>
      <c r="V22" s="24"/>
      <c r="W22" s="24"/>
      <c r="X22" s="24" t="n">
        <v>3</v>
      </c>
      <c r="Y22" s="24"/>
      <c r="Z22" s="24"/>
      <c r="AA22" s="24"/>
      <c r="AB22" s="24" t="n">
        <v>3</v>
      </c>
      <c r="AC22" s="24"/>
      <c r="AD22" s="24"/>
      <c r="AE22" s="24"/>
      <c r="AF22" s="24" t="n">
        <v>3</v>
      </c>
      <c r="AG22" s="24"/>
      <c r="AH22" s="24"/>
      <c r="AI22" s="24"/>
      <c r="AJ22" s="24" t="n">
        <v>3</v>
      </c>
      <c r="AK22" s="24"/>
      <c r="AL22" s="24"/>
      <c r="AM22" s="24"/>
      <c r="AN22" s="24" t="n">
        <v>2</v>
      </c>
      <c r="AO22" s="24"/>
      <c r="AP22" s="24"/>
      <c r="AQ22" s="24"/>
      <c r="AR22" s="24" t="n">
        <v>2</v>
      </c>
      <c r="AS22" s="24"/>
      <c r="AT22" s="24"/>
      <c r="AU22" s="24"/>
      <c r="AV22" s="24" t="n">
        <v>1</v>
      </c>
      <c r="AW22" s="24"/>
      <c r="AX22" s="24"/>
      <c r="AY22" s="24"/>
      <c r="AZ22" s="25" t="n">
        <f aca="false">SUM(D22:AY22)</f>
        <v>25</v>
      </c>
      <c r="BA22" s="78" t="n">
        <v>40</v>
      </c>
      <c r="BB22" s="79" t="n">
        <f aca="false">AZ22*BA22*$BB$30</f>
        <v>168000</v>
      </c>
    </row>
    <row r="23" customFormat="false" ht="15" hidden="false" customHeight="false" outlineLevel="0" collapsed="false">
      <c r="A23" s="22" t="s">
        <v>133</v>
      </c>
      <c r="B23" s="23" t="s">
        <v>5</v>
      </c>
      <c r="C23" s="22" t="s">
        <v>68</v>
      </c>
      <c r="D23" s="24" t="n">
        <v>1</v>
      </c>
      <c r="E23" s="24"/>
      <c r="F23" s="24"/>
      <c r="G23" s="24"/>
      <c r="H23" s="24" t="n">
        <v>1</v>
      </c>
      <c r="I23" s="24"/>
      <c r="J23" s="24"/>
      <c r="K23" s="24"/>
      <c r="L23" s="24" t="n">
        <v>1</v>
      </c>
      <c r="M23" s="24"/>
      <c r="N23" s="24"/>
      <c r="O23" s="24"/>
      <c r="P23" s="24" t="n">
        <v>1</v>
      </c>
      <c r="Q23" s="24"/>
      <c r="R23" s="24"/>
      <c r="S23" s="24"/>
      <c r="T23" s="24" t="n">
        <v>1</v>
      </c>
      <c r="U23" s="24"/>
      <c r="V23" s="24"/>
      <c r="W23" s="24"/>
      <c r="X23" s="24" t="n">
        <v>1</v>
      </c>
      <c r="Y23" s="24"/>
      <c r="Z23" s="24"/>
      <c r="AA23" s="24"/>
      <c r="AB23" s="24" t="n">
        <v>1</v>
      </c>
      <c r="AC23" s="24"/>
      <c r="AD23" s="24"/>
      <c r="AE23" s="24"/>
      <c r="AF23" s="24" t="n">
        <v>1</v>
      </c>
      <c r="AG23" s="24"/>
      <c r="AH23" s="24"/>
      <c r="AI23" s="24"/>
      <c r="AJ23" s="24" t="n">
        <v>1</v>
      </c>
      <c r="AK23" s="24"/>
      <c r="AL23" s="24"/>
      <c r="AM23" s="24"/>
      <c r="AN23" s="24" t="n">
        <v>1</v>
      </c>
      <c r="AO23" s="24"/>
      <c r="AP23" s="24"/>
      <c r="AQ23" s="24"/>
      <c r="AR23" s="24" t="n">
        <v>1</v>
      </c>
      <c r="AS23" s="24"/>
      <c r="AT23" s="24"/>
      <c r="AU23" s="24"/>
      <c r="AV23" s="24" t="n">
        <v>1</v>
      </c>
      <c r="AW23" s="24"/>
      <c r="AX23" s="24"/>
      <c r="AY23" s="24"/>
      <c r="AZ23" s="25" t="n">
        <f aca="false">SUM(D23:AY23)</f>
        <v>12</v>
      </c>
      <c r="BA23" s="78" t="n">
        <v>40</v>
      </c>
      <c r="BB23" s="79" t="n">
        <f aca="false">AZ23*BA23*$BB$30</f>
        <v>80640</v>
      </c>
    </row>
    <row r="24" customFormat="false" ht="15" hidden="false" customHeight="false" outlineLevel="0" collapsed="false">
      <c r="A24" s="22" t="s">
        <v>79</v>
      </c>
      <c r="B24" s="23" t="s">
        <v>5</v>
      </c>
      <c r="C24" s="22" t="s">
        <v>68</v>
      </c>
      <c r="D24" s="24"/>
      <c r="E24" s="24"/>
      <c r="F24" s="24"/>
      <c r="G24" s="24"/>
      <c r="H24" s="24"/>
      <c r="I24" s="24"/>
      <c r="J24" s="24"/>
      <c r="K24" s="24"/>
      <c r="L24" s="24"/>
      <c r="M24" s="24"/>
      <c r="N24" s="24"/>
      <c r="O24" s="24"/>
      <c r="P24" s="24" t="n">
        <v>1</v>
      </c>
      <c r="Q24" s="24"/>
      <c r="R24" s="24"/>
      <c r="S24" s="24"/>
      <c r="T24" s="24" t="n">
        <v>1</v>
      </c>
      <c r="U24" s="24"/>
      <c r="V24" s="24"/>
      <c r="W24" s="24"/>
      <c r="X24" s="24" t="n">
        <v>1</v>
      </c>
      <c r="Y24" s="24"/>
      <c r="Z24" s="24"/>
      <c r="AA24" s="24"/>
      <c r="AB24" s="24" t="n">
        <v>2</v>
      </c>
      <c r="AC24" s="24"/>
      <c r="AD24" s="24"/>
      <c r="AE24" s="24"/>
      <c r="AF24" s="24" t="n">
        <v>2</v>
      </c>
      <c r="AG24" s="24"/>
      <c r="AH24" s="24"/>
      <c r="AI24" s="24"/>
      <c r="AJ24" s="24" t="n">
        <v>2</v>
      </c>
      <c r="AK24" s="24"/>
      <c r="AL24" s="24"/>
      <c r="AM24" s="24"/>
      <c r="AN24" s="24" t="n">
        <v>2</v>
      </c>
      <c r="AO24" s="24"/>
      <c r="AP24" s="24"/>
      <c r="AQ24" s="24"/>
      <c r="AR24" s="24" t="n">
        <v>2</v>
      </c>
      <c r="AS24" s="24"/>
      <c r="AT24" s="24"/>
      <c r="AU24" s="24"/>
      <c r="AV24" s="24" t="n">
        <v>2</v>
      </c>
      <c r="AW24" s="24"/>
      <c r="AX24" s="24"/>
      <c r="AY24" s="24"/>
      <c r="AZ24" s="25" t="n">
        <f aca="false">SUM(D24:AY24)</f>
        <v>15</v>
      </c>
      <c r="BA24" s="78" t="n">
        <v>40</v>
      </c>
      <c r="BB24" s="79" t="n">
        <f aca="false">AZ24*BA24*$BB$30</f>
        <v>100800</v>
      </c>
    </row>
    <row r="25" customFormat="false" ht="15" hidden="false" customHeight="false" outlineLevel="0" collapsed="false">
      <c r="A25" s="22"/>
      <c r="B25" s="23" t="s">
        <v>5</v>
      </c>
      <c r="C25" s="22"/>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5" t="n">
        <f aca="false">SUM(D25:AY25)</f>
        <v>0</v>
      </c>
      <c r="BA25" s="78" t="n">
        <v>0</v>
      </c>
      <c r="BB25" s="79" t="n">
        <f aca="false">AZ25*BA25*$BB$30</f>
        <v>0</v>
      </c>
    </row>
    <row r="26" customFormat="false" ht="15" hidden="false" customHeight="true" outlineLevel="0" collapsed="false">
      <c r="A26" s="28" t="s">
        <v>80</v>
      </c>
      <c r="B26" s="28"/>
      <c r="C26" s="28"/>
      <c r="D26" s="29" t="n">
        <f aca="false">SUM(D12:D25)</f>
        <v>8.5</v>
      </c>
      <c r="E26" s="29"/>
      <c r="F26" s="29"/>
      <c r="G26" s="29"/>
      <c r="H26" s="29" t="n">
        <f aca="false">SUM(H12:H25)</f>
        <v>11.5</v>
      </c>
      <c r="I26" s="29"/>
      <c r="J26" s="29"/>
      <c r="K26" s="29"/>
      <c r="L26" s="29" t="n">
        <f aca="false">SUM(L12:L25)</f>
        <v>16.3</v>
      </c>
      <c r="M26" s="29"/>
      <c r="N26" s="29"/>
      <c r="O26" s="29"/>
      <c r="P26" s="29" t="n">
        <f aca="false">SUM(P12:P25)</f>
        <v>18.2</v>
      </c>
      <c r="Q26" s="29"/>
      <c r="R26" s="29"/>
      <c r="S26" s="29"/>
      <c r="T26" s="29" t="n">
        <f aca="false">SUM(T12:T25)</f>
        <v>19.2</v>
      </c>
      <c r="U26" s="29"/>
      <c r="V26" s="29"/>
      <c r="W26" s="29"/>
      <c r="X26" s="29" t="n">
        <f aca="false">SUM(X12:X25)</f>
        <v>19.2</v>
      </c>
      <c r="Y26" s="29"/>
      <c r="Z26" s="29"/>
      <c r="AA26" s="29"/>
      <c r="AB26" s="29" t="n">
        <f aca="false">SUM(AB12:AB25)</f>
        <v>19.7</v>
      </c>
      <c r="AC26" s="29"/>
      <c r="AD26" s="29"/>
      <c r="AE26" s="29"/>
      <c r="AF26" s="29" t="n">
        <f aca="false">SUM(AF12:AF25)</f>
        <v>19.2</v>
      </c>
      <c r="AG26" s="29"/>
      <c r="AH26" s="29"/>
      <c r="AI26" s="29"/>
      <c r="AJ26" s="29" t="n">
        <f aca="false">SUM(AJ12:AJ25)</f>
        <v>18.2</v>
      </c>
      <c r="AK26" s="29"/>
      <c r="AL26" s="29"/>
      <c r="AM26" s="29"/>
      <c r="AN26" s="29" t="n">
        <f aca="false">SUM(AN12:AN25)</f>
        <v>16.7</v>
      </c>
      <c r="AO26" s="29"/>
      <c r="AP26" s="29"/>
      <c r="AQ26" s="29"/>
      <c r="AR26" s="29" t="n">
        <f aca="false">SUM(AR12:AR25)</f>
        <v>13.2</v>
      </c>
      <c r="AS26" s="29"/>
      <c r="AT26" s="29"/>
      <c r="AU26" s="29"/>
      <c r="AV26" s="29" t="n">
        <f aca="false">SUM(AV12:AV25)</f>
        <v>11.7</v>
      </c>
      <c r="AW26" s="29"/>
      <c r="AX26" s="29"/>
      <c r="AY26" s="29"/>
      <c r="AZ26" s="29" t="n">
        <f aca="false">SUM(AZ12:AZ25)</f>
        <v>191.6</v>
      </c>
      <c r="BA26" s="30"/>
      <c r="BB26" s="80" t="n">
        <f aca="false">SUM(BB12:BB25)</f>
        <v>1287552</v>
      </c>
    </row>
    <row r="27" customFormat="false" ht="15" hidden="false" customHeight="true" outlineLevel="0" collapsed="false">
      <c r="A27" s="32" t="s">
        <v>81</v>
      </c>
      <c r="B27" s="32"/>
      <c r="C27" s="32"/>
      <c r="D27" s="32"/>
      <c r="E27" s="32"/>
      <c r="F27" s="32"/>
      <c r="G27" s="32"/>
      <c r="H27" s="32"/>
      <c r="I27" s="32"/>
      <c r="J27" s="32"/>
      <c r="K27" s="32"/>
      <c r="L27" s="32"/>
      <c r="M27" s="32"/>
      <c r="N27" s="32"/>
      <c r="O27" s="32"/>
      <c r="P27" s="32"/>
      <c r="Q27" s="32"/>
      <c r="R27" s="32"/>
      <c r="S27" s="32"/>
      <c r="T27" s="32"/>
    </row>
    <row r="28" customFormat="false" ht="15" hidden="false" customHeight="true" outlineLevel="0" collapsed="false">
      <c r="AZ28" s="33" t="s">
        <v>82</v>
      </c>
      <c r="BA28" s="33"/>
      <c r="BB28" s="81" t="n">
        <f aca="false">BB26</f>
        <v>1287552</v>
      </c>
    </row>
    <row r="29" customFormat="false" ht="15" hidden="false" customHeight="true" outlineLevel="0" collapsed="false">
      <c r="AZ29" s="33" t="s">
        <v>83</v>
      </c>
      <c r="BA29" s="33"/>
      <c r="BB29" s="82" t="n">
        <f aca="false">'Executive Summary'!$E$1*BB28</f>
        <v>109441920</v>
      </c>
    </row>
    <row r="30" customFormat="false" ht="23.85" hidden="false" customHeight="true" outlineLevel="0" collapsed="false">
      <c r="AZ30" s="33" t="s">
        <v>84</v>
      </c>
      <c r="BA30" s="33"/>
      <c r="BB30" s="36" t="n">
        <v>168</v>
      </c>
    </row>
    <row r="33" customFormat="false" ht="15" hidden="false" customHeight="true" outlineLevel="0" collapsed="false">
      <c r="A33" s="37" t="s">
        <v>85</v>
      </c>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row>
    <row r="34" customFormat="false" ht="15" hidden="false" customHeight="true" outlineLevel="0" collapsed="false">
      <c r="A34" s="16" t="s">
        <v>86</v>
      </c>
      <c r="B34" s="16"/>
      <c r="C34" s="16"/>
      <c r="D34" s="16" t="s">
        <v>87</v>
      </c>
      <c r="E34" s="16"/>
      <c r="F34" s="16"/>
      <c r="G34" s="16"/>
      <c r="H34" s="16" t="s">
        <v>88</v>
      </c>
      <c r="I34" s="16"/>
      <c r="J34" s="16"/>
      <c r="K34" s="16"/>
      <c r="L34" s="16" t="s">
        <v>89</v>
      </c>
      <c r="M34" s="16"/>
      <c r="N34" s="16"/>
      <c r="O34" s="16"/>
      <c r="P34" s="16" t="s">
        <v>90</v>
      </c>
      <c r="Q34" s="16"/>
      <c r="R34" s="16"/>
      <c r="S34" s="16"/>
      <c r="T34" s="16" t="s">
        <v>91</v>
      </c>
      <c r="U34" s="16"/>
      <c r="V34" s="16"/>
      <c r="W34" s="16"/>
      <c r="X34" s="16" t="s">
        <v>92</v>
      </c>
      <c r="Y34" s="16"/>
      <c r="Z34" s="16"/>
      <c r="AA34" s="16"/>
    </row>
    <row r="35" customFormat="false" ht="15" hidden="false" customHeight="true" outlineLevel="0" collapsed="false">
      <c r="A35" s="38" t="s">
        <v>93</v>
      </c>
      <c r="B35" s="38"/>
      <c r="C35" s="38"/>
      <c r="D35" s="39" t="n">
        <v>24.6</v>
      </c>
      <c r="E35" s="39"/>
      <c r="F35" s="39"/>
      <c r="G35" s="39"/>
      <c r="H35" s="39" t="n">
        <v>14</v>
      </c>
      <c r="I35" s="39"/>
      <c r="J35" s="39"/>
      <c r="K35" s="39"/>
      <c r="L35" s="39" t="n">
        <v>56</v>
      </c>
      <c r="M35" s="39"/>
      <c r="N35" s="39"/>
      <c r="O35" s="39"/>
      <c r="P35" s="39" t="n">
        <v>70</v>
      </c>
      <c r="Q35" s="39"/>
      <c r="R35" s="39"/>
      <c r="S35" s="39"/>
      <c r="T35" s="39" t="n">
        <v>15</v>
      </c>
      <c r="U35" s="39"/>
      <c r="V35" s="39"/>
      <c r="W35" s="39"/>
      <c r="X35" s="39" t="n">
        <v>12</v>
      </c>
      <c r="Y35" s="39"/>
      <c r="Z35" s="39"/>
      <c r="AA35" s="39"/>
    </row>
    <row r="36" customFormat="false" ht="15" hidden="false" customHeight="true" outlineLevel="0" collapsed="false">
      <c r="A36" s="38" t="s">
        <v>94</v>
      </c>
      <c r="B36" s="38"/>
      <c r="C36" s="38"/>
      <c r="D36" s="79" t="n">
        <f aca="false">(D35/$AZ$26)*'Executive Summary'!$E$14</f>
        <v>128392.48434238</v>
      </c>
      <c r="E36" s="79"/>
      <c r="F36" s="79"/>
      <c r="G36" s="79"/>
      <c r="H36" s="79" t="n">
        <f aca="false">(H35/$AZ$26)*'Executive Summary'!$E$14</f>
        <v>73068.8935281837</v>
      </c>
      <c r="I36" s="79"/>
      <c r="J36" s="79"/>
      <c r="K36" s="79"/>
      <c r="L36" s="79" t="n">
        <f aca="false">(L35/$AZ$26)*'Executive Summary'!$E$14</f>
        <v>292275.574112735</v>
      </c>
      <c r="M36" s="79"/>
      <c r="N36" s="79"/>
      <c r="O36" s="79"/>
      <c r="P36" s="79" t="n">
        <f aca="false">(P35/$AZ$26)*'Executive Summary'!$E$14</f>
        <v>365344.467640919</v>
      </c>
      <c r="Q36" s="79"/>
      <c r="R36" s="79"/>
      <c r="S36" s="79"/>
      <c r="T36" s="79" t="n">
        <f aca="false">(T35/$AZ$26)*'Executive Summary'!$E$14</f>
        <v>78288.1002087683</v>
      </c>
      <c r="U36" s="79"/>
      <c r="V36" s="79"/>
      <c r="W36" s="79"/>
      <c r="X36" s="79" t="n">
        <f aca="false">(X35/$AZ$26)*'Executive Summary'!$E$14</f>
        <v>62630.4801670146</v>
      </c>
      <c r="Y36" s="79"/>
      <c r="Z36" s="79"/>
      <c r="AA36" s="79"/>
    </row>
    <row r="40" customFormat="false" ht="15" hidden="false" customHeight="true" outlineLevel="0" collapsed="false">
      <c r="A40" s="37" t="s">
        <v>95</v>
      </c>
      <c r="B40" s="37"/>
      <c r="C40" s="37"/>
      <c r="D40" s="37"/>
      <c r="E40" s="37"/>
      <c r="F40" s="37"/>
      <c r="G40" s="37"/>
    </row>
    <row r="41" customFormat="false" ht="15" hidden="false" customHeight="true" outlineLevel="0" collapsed="false">
      <c r="A41" s="16" t="s">
        <v>64</v>
      </c>
      <c r="B41" s="16"/>
      <c r="C41" s="16"/>
      <c r="D41" s="16" t="s">
        <v>45</v>
      </c>
      <c r="E41" s="16"/>
      <c r="F41" s="16"/>
      <c r="G41" s="16"/>
      <c r="H41" s="16" t="s">
        <v>46</v>
      </c>
      <c r="I41" s="16"/>
      <c r="J41" s="16"/>
      <c r="K41" s="16"/>
      <c r="L41" s="16" t="s">
        <v>47</v>
      </c>
      <c r="M41" s="16"/>
      <c r="N41" s="16"/>
      <c r="O41" s="16"/>
      <c r="P41" s="16" t="s">
        <v>48</v>
      </c>
      <c r="Q41" s="16"/>
      <c r="R41" s="16"/>
      <c r="S41" s="16"/>
      <c r="T41" s="16" t="s">
        <v>49</v>
      </c>
      <c r="U41" s="16"/>
      <c r="V41" s="16"/>
      <c r="W41" s="16"/>
      <c r="X41" s="16" t="s">
        <v>50</v>
      </c>
      <c r="Y41" s="16"/>
      <c r="Z41" s="16"/>
      <c r="AA41" s="16"/>
      <c r="AB41" s="16" t="s">
        <v>51</v>
      </c>
      <c r="AC41" s="16"/>
      <c r="AD41" s="16"/>
      <c r="AE41" s="16"/>
      <c r="AF41" s="16" t="s">
        <v>52</v>
      </c>
      <c r="AG41" s="16"/>
      <c r="AH41" s="16"/>
      <c r="AI41" s="16"/>
      <c r="AJ41" s="16" t="s">
        <v>53</v>
      </c>
      <c r="AK41" s="16"/>
      <c r="AL41" s="16"/>
      <c r="AM41" s="16"/>
      <c r="AN41" s="16" t="s">
        <v>54</v>
      </c>
      <c r="AO41" s="16"/>
      <c r="AP41" s="16"/>
      <c r="AQ41" s="16"/>
      <c r="AR41" s="16" t="s">
        <v>55</v>
      </c>
      <c r="AS41" s="16"/>
      <c r="AT41" s="16"/>
      <c r="AU41" s="16"/>
      <c r="AV41" s="16" t="s">
        <v>56</v>
      </c>
      <c r="AW41" s="16"/>
      <c r="AX41" s="16"/>
      <c r="AY41" s="16"/>
      <c r="AZ41" s="16" t="s">
        <v>96</v>
      </c>
      <c r="BA41" s="16" t="s">
        <v>97</v>
      </c>
    </row>
    <row r="42" customFormat="false" ht="15" hidden="false" customHeight="true" outlineLevel="0" collapsed="false">
      <c r="A42" s="40" t="s">
        <v>98</v>
      </c>
      <c r="B42" s="40"/>
      <c r="C42" s="40"/>
      <c r="D42" s="83" t="n">
        <f aca="false">(D26/$AZ$26)*'Executive Summary'!$E$14</f>
        <v>44363.2567849687</v>
      </c>
      <c r="E42" s="83"/>
      <c r="F42" s="83"/>
      <c r="G42" s="83"/>
      <c r="H42" s="83" t="n">
        <f aca="false">(H26/$AZ$26)*'Executive Summary'!$E$14</f>
        <v>60020.8768267223</v>
      </c>
      <c r="I42" s="83"/>
      <c r="J42" s="83"/>
      <c r="K42" s="83"/>
      <c r="L42" s="83" t="n">
        <f aca="false">(L26/$AZ$26)*'Executive Summary'!$E$14</f>
        <v>85073.0688935282</v>
      </c>
      <c r="M42" s="83"/>
      <c r="N42" s="83"/>
      <c r="O42" s="83"/>
      <c r="P42" s="83" t="n">
        <f aca="false">(P26/$AZ$26)*'Executive Summary'!$E$14</f>
        <v>94989.5615866388</v>
      </c>
      <c r="Q42" s="83"/>
      <c r="R42" s="83"/>
      <c r="S42" s="83"/>
      <c r="T42" s="83" t="n">
        <f aca="false">(T26/$AZ$26)*'Executive Summary'!$E$14</f>
        <v>100208.768267223</v>
      </c>
      <c r="U42" s="83"/>
      <c r="V42" s="83"/>
      <c r="W42" s="83"/>
      <c r="X42" s="83" t="n">
        <f aca="false">(X26/$AZ$26)*'Executive Summary'!$E$14</f>
        <v>100208.768267223</v>
      </c>
      <c r="Y42" s="83"/>
      <c r="Z42" s="83"/>
      <c r="AA42" s="83"/>
      <c r="AB42" s="83" t="n">
        <f aca="false">(AB26/$AZ$26)*'Executive Summary'!$E$14</f>
        <v>102818.371607516</v>
      </c>
      <c r="AC42" s="83"/>
      <c r="AD42" s="83"/>
      <c r="AE42" s="83"/>
      <c r="AF42" s="83" t="n">
        <f aca="false">(AF26/$AZ$26)*'Executive Summary'!$E$14</f>
        <v>100208.768267223</v>
      </c>
      <c r="AG42" s="83"/>
      <c r="AH42" s="83"/>
      <c r="AI42" s="83"/>
      <c r="AJ42" s="83" t="n">
        <f aca="false">(AJ26/$AZ$26)*'Executive Summary'!$E$14</f>
        <v>94989.5615866388</v>
      </c>
      <c r="AK42" s="83"/>
      <c r="AL42" s="83"/>
      <c r="AM42" s="83"/>
      <c r="AN42" s="83" t="n">
        <f aca="false">(AN26/$AZ$26)*'Executive Summary'!$E$14</f>
        <v>87160.751565762</v>
      </c>
      <c r="AO42" s="83"/>
      <c r="AP42" s="83"/>
      <c r="AQ42" s="83"/>
      <c r="AR42" s="83" t="n">
        <f aca="false">(AR26/$AZ$26)*'Executive Summary'!$E$14</f>
        <v>68893.5281837161</v>
      </c>
      <c r="AS42" s="83"/>
      <c r="AT42" s="83"/>
      <c r="AU42" s="83"/>
      <c r="AV42" s="83" t="n">
        <f aca="false">(AV26/$AZ$26)*'Executive Summary'!$E$14</f>
        <v>61064.7181628392</v>
      </c>
      <c r="AW42" s="83"/>
      <c r="AX42" s="83"/>
      <c r="AY42" s="83"/>
      <c r="AZ42" s="84" t="n">
        <f aca="false">SUM(D42:AY42)</f>
        <v>1000000</v>
      </c>
      <c r="BA42" s="43"/>
    </row>
    <row r="43" customFormat="false" ht="23.85" hidden="false" customHeight="true" outlineLevel="0" collapsed="false">
      <c r="A43" s="40" t="s">
        <v>99</v>
      </c>
      <c r="B43" s="40"/>
      <c r="C43" s="40"/>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84" t="n">
        <f aca="false">SUM(D43:AY43)</f>
        <v>0</v>
      </c>
      <c r="BA43" s="84" t="n">
        <f aca="false">AZ42-AZ43</f>
        <v>1000000</v>
      </c>
    </row>
    <row r="44" customFormat="false" ht="23.85" hidden="false" customHeight="true" outlineLevel="0" collapsed="false">
      <c r="A44" s="40" t="s">
        <v>100</v>
      </c>
      <c r="B44" s="40"/>
      <c r="C44" s="40"/>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84" t="n">
        <f aca="false">SUM(D44:AY44)</f>
        <v>0</v>
      </c>
      <c r="BA44" s="84" t="n">
        <f aca="false">AZ42-AZ44</f>
        <v>1000000</v>
      </c>
    </row>
  </sheetData>
  <mergeCells count="293">
    <mergeCell ref="A1:C1"/>
    <mergeCell ref="D1:G1"/>
    <mergeCell ref="H1:K1"/>
    <mergeCell ref="L1:O1"/>
    <mergeCell ref="P1:S1"/>
    <mergeCell ref="T1:W1"/>
    <mergeCell ref="X1:AA1"/>
    <mergeCell ref="AB1:AE1"/>
    <mergeCell ref="AF1:AI1"/>
    <mergeCell ref="AJ1:AM1"/>
    <mergeCell ref="AN1:AQ1"/>
    <mergeCell ref="AR1:AU1"/>
    <mergeCell ref="AV1:AY1"/>
    <mergeCell ref="A2:C2"/>
    <mergeCell ref="A3:C3"/>
    <mergeCell ref="A4:C4"/>
    <mergeCell ref="A5:C5"/>
    <mergeCell ref="A6:C6"/>
    <mergeCell ref="A7:C7"/>
    <mergeCell ref="A8:C8"/>
    <mergeCell ref="A9:C9"/>
    <mergeCell ref="D11:G11"/>
    <mergeCell ref="H11:K11"/>
    <mergeCell ref="L11:O11"/>
    <mergeCell ref="P11:S11"/>
    <mergeCell ref="T11:W11"/>
    <mergeCell ref="X11:AA11"/>
    <mergeCell ref="AB11:AE11"/>
    <mergeCell ref="AF11:AI11"/>
    <mergeCell ref="AJ11:AM11"/>
    <mergeCell ref="AN11:AQ11"/>
    <mergeCell ref="AR11:AU11"/>
    <mergeCell ref="AV11:AY11"/>
    <mergeCell ref="D12:G12"/>
    <mergeCell ref="H12:K12"/>
    <mergeCell ref="L12:O12"/>
    <mergeCell ref="P12:S12"/>
    <mergeCell ref="T12:W12"/>
    <mergeCell ref="X12:AA12"/>
    <mergeCell ref="AB12:AE12"/>
    <mergeCell ref="AF12:AI12"/>
    <mergeCell ref="AJ12:AM12"/>
    <mergeCell ref="AN12:AQ12"/>
    <mergeCell ref="AR12:AU12"/>
    <mergeCell ref="AV12:AY12"/>
    <mergeCell ref="D13:G13"/>
    <mergeCell ref="H13:K13"/>
    <mergeCell ref="L13:O13"/>
    <mergeCell ref="P13:S13"/>
    <mergeCell ref="T13:W13"/>
    <mergeCell ref="X13:AA13"/>
    <mergeCell ref="AB13:AE13"/>
    <mergeCell ref="AF13:AI13"/>
    <mergeCell ref="AJ13:AM13"/>
    <mergeCell ref="AN13:AQ13"/>
    <mergeCell ref="AR13:AU13"/>
    <mergeCell ref="AV13:AY13"/>
    <mergeCell ref="D14:G14"/>
    <mergeCell ref="H14:K14"/>
    <mergeCell ref="L14:O14"/>
    <mergeCell ref="P14:S14"/>
    <mergeCell ref="T14:W14"/>
    <mergeCell ref="X14:AA14"/>
    <mergeCell ref="AB14:AE14"/>
    <mergeCell ref="AF14:AI14"/>
    <mergeCell ref="AJ14:AM14"/>
    <mergeCell ref="AN14:AQ14"/>
    <mergeCell ref="AR14:AU14"/>
    <mergeCell ref="AV14:AY14"/>
    <mergeCell ref="D15:G15"/>
    <mergeCell ref="H15:K15"/>
    <mergeCell ref="L15:O15"/>
    <mergeCell ref="P15:S15"/>
    <mergeCell ref="T15:W15"/>
    <mergeCell ref="X15:AA15"/>
    <mergeCell ref="AB15:AE15"/>
    <mergeCell ref="AF15:AI15"/>
    <mergeCell ref="AJ15:AM15"/>
    <mergeCell ref="AN15:AQ15"/>
    <mergeCell ref="AR15:AU15"/>
    <mergeCell ref="AV15:AY15"/>
    <mergeCell ref="D16:G16"/>
    <mergeCell ref="H16:K16"/>
    <mergeCell ref="L16:O16"/>
    <mergeCell ref="P16:S16"/>
    <mergeCell ref="T16:W16"/>
    <mergeCell ref="X16:AA16"/>
    <mergeCell ref="AB16:AE16"/>
    <mergeCell ref="AF16:AI16"/>
    <mergeCell ref="AJ16:AM16"/>
    <mergeCell ref="AN16:AQ16"/>
    <mergeCell ref="AR16:AU16"/>
    <mergeCell ref="AV16:AY16"/>
    <mergeCell ref="D17:G17"/>
    <mergeCell ref="H17:K17"/>
    <mergeCell ref="L17:O17"/>
    <mergeCell ref="P17:S17"/>
    <mergeCell ref="T17:W17"/>
    <mergeCell ref="X17:AA17"/>
    <mergeCell ref="AB17:AE17"/>
    <mergeCell ref="AF17:AI17"/>
    <mergeCell ref="AJ17:AM17"/>
    <mergeCell ref="AN17:AQ17"/>
    <mergeCell ref="AR17:AU17"/>
    <mergeCell ref="AV17:AY17"/>
    <mergeCell ref="D18:G18"/>
    <mergeCell ref="H18:K18"/>
    <mergeCell ref="L18:O18"/>
    <mergeCell ref="P18:S18"/>
    <mergeCell ref="T18:W18"/>
    <mergeCell ref="X18:AA18"/>
    <mergeCell ref="AB18:AE18"/>
    <mergeCell ref="AF18:AI18"/>
    <mergeCell ref="AJ18:AM18"/>
    <mergeCell ref="AN18:AQ18"/>
    <mergeCell ref="AR18:AU18"/>
    <mergeCell ref="AV18:AY18"/>
    <mergeCell ref="D19:G19"/>
    <mergeCell ref="H19:K19"/>
    <mergeCell ref="L19:O19"/>
    <mergeCell ref="P19:S19"/>
    <mergeCell ref="T19:W19"/>
    <mergeCell ref="X19:AA19"/>
    <mergeCell ref="AB19:AE19"/>
    <mergeCell ref="AF19:AI19"/>
    <mergeCell ref="AJ19:AM19"/>
    <mergeCell ref="AN19:AQ19"/>
    <mergeCell ref="AR19:AU19"/>
    <mergeCell ref="AV19:AY19"/>
    <mergeCell ref="D20:G20"/>
    <mergeCell ref="H20:K20"/>
    <mergeCell ref="L20:O20"/>
    <mergeCell ref="P20:S20"/>
    <mergeCell ref="T20:W20"/>
    <mergeCell ref="X20:AA20"/>
    <mergeCell ref="AB20:AE20"/>
    <mergeCell ref="AF20:AI20"/>
    <mergeCell ref="AJ20:AM20"/>
    <mergeCell ref="AN20:AQ20"/>
    <mergeCell ref="AR20:AU20"/>
    <mergeCell ref="AV20:AY20"/>
    <mergeCell ref="D21:G21"/>
    <mergeCell ref="H21:K21"/>
    <mergeCell ref="L21:O21"/>
    <mergeCell ref="P21:S21"/>
    <mergeCell ref="T21:W21"/>
    <mergeCell ref="X21:AA21"/>
    <mergeCell ref="AB21:AE21"/>
    <mergeCell ref="AF21:AI21"/>
    <mergeCell ref="AJ21:AM21"/>
    <mergeCell ref="AN21:AQ21"/>
    <mergeCell ref="AR21:AU21"/>
    <mergeCell ref="AV21:AY21"/>
    <mergeCell ref="D22:G22"/>
    <mergeCell ref="H22:K22"/>
    <mergeCell ref="L22:O22"/>
    <mergeCell ref="P22:S22"/>
    <mergeCell ref="T22:W22"/>
    <mergeCell ref="X22:AA22"/>
    <mergeCell ref="AB22:AE22"/>
    <mergeCell ref="AF22:AI22"/>
    <mergeCell ref="AJ22:AM22"/>
    <mergeCell ref="AN22:AQ22"/>
    <mergeCell ref="AR22:AU22"/>
    <mergeCell ref="AV22:AY22"/>
    <mergeCell ref="D23:G23"/>
    <mergeCell ref="H23:K23"/>
    <mergeCell ref="L23:O23"/>
    <mergeCell ref="P23:S23"/>
    <mergeCell ref="T23:W23"/>
    <mergeCell ref="X23:AA23"/>
    <mergeCell ref="AB23:AE23"/>
    <mergeCell ref="AF23:AI23"/>
    <mergeCell ref="AJ23:AM23"/>
    <mergeCell ref="AN23:AQ23"/>
    <mergeCell ref="AR23:AU23"/>
    <mergeCell ref="AV23:AY23"/>
    <mergeCell ref="D24:G24"/>
    <mergeCell ref="H24:K24"/>
    <mergeCell ref="L24:O24"/>
    <mergeCell ref="P24:S24"/>
    <mergeCell ref="T24:W24"/>
    <mergeCell ref="X24:AA24"/>
    <mergeCell ref="AB24:AE24"/>
    <mergeCell ref="AF24:AI24"/>
    <mergeCell ref="AJ24:AM24"/>
    <mergeCell ref="AN24:AQ24"/>
    <mergeCell ref="AR24:AU24"/>
    <mergeCell ref="AV24:AY24"/>
    <mergeCell ref="D25:G25"/>
    <mergeCell ref="H25:K25"/>
    <mergeCell ref="L25:O25"/>
    <mergeCell ref="P25:S25"/>
    <mergeCell ref="T25:W25"/>
    <mergeCell ref="X25:AA25"/>
    <mergeCell ref="AB25:AE25"/>
    <mergeCell ref="AF25:AI25"/>
    <mergeCell ref="AJ25:AM25"/>
    <mergeCell ref="AN25:AQ25"/>
    <mergeCell ref="AR25:AU25"/>
    <mergeCell ref="AV25:AY25"/>
    <mergeCell ref="A26:C26"/>
    <mergeCell ref="D26:G26"/>
    <mergeCell ref="H26:K26"/>
    <mergeCell ref="L26:O26"/>
    <mergeCell ref="P26:S26"/>
    <mergeCell ref="T26:W26"/>
    <mergeCell ref="X26:AA26"/>
    <mergeCell ref="AB26:AE26"/>
    <mergeCell ref="AF26:AI26"/>
    <mergeCell ref="AJ26:AM26"/>
    <mergeCell ref="AN26:AQ26"/>
    <mergeCell ref="AR26:AU26"/>
    <mergeCell ref="AV26:AY26"/>
    <mergeCell ref="A27:T27"/>
    <mergeCell ref="AZ28:BA28"/>
    <mergeCell ref="AZ29:BA29"/>
    <mergeCell ref="AZ30:BA30"/>
    <mergeCell ref="A33:AA33"/>
    <mergeCell ref="A34:C34"/>
    <mergeCell ref="D34:G34"/>
    <mergeCell ref="H34:K34"/>
    <mergeCell ref="L34:O34"/>
    <mergeCell ref="P34:S34"/>
    <mergeCell ref="T34:W34"/>
    <mergeCell ref="X34:AA34"/>
    <mergeCell ref="A35:C35"/>
    <mergeCell ref="D35:G35"/>
    <mergeCell ref="H35:K35"/>
    <mergeCell ref="L35:O35"/>
    <mergeCell ref="P35:S35"/>
    <mergeCell ref="T35:W35"/>
    <mergeCell ref="X35:AA35"/>
    <mergeCell ref="A36:C36"/>
    <mergeCell ref="D36:G36"/>
    <mergeCell ref="H36:K36"/>
    <mergeCell ref="L36:O36"/>
    <mergeCell ref="P36:S36"/>
    <mergeCell ref="T36:W36"/>
    <mergeCell ref="X36:AA36"/>
    <mergeCell ref="A40:G40"/>
    <mergeCell ref="A41:C41"/>
    <mergeCell ref="D41:G41"/>
    <mergeCell ref="H41:K41"/>
    <mergeCell ref="L41:O41"/>
    <mergeCell ref="P41:S41"/>
    <mergeCell ref="T41:W41"/>
    <mergeCell ref="X41:AA41"/>
    <mergeCell ref="AB41:AE41"/>
    <mergeCell ref="AF41:AI41"/>
    <mergeCell ref="AJ41:AM41"/>
    <mergeCell ref="AN41:AQ41"/>
    <mergeCell ref="AR41:AU41"/>
    <mergeCell ref="AV41:AY41"/>
    <mergeCell ref="A42:C42"/>
    <mergeCell ref="D42:G42"/>
    <mergeCell ref="H42:K42"/>
    <mergeCell ref="L42:O42"/>
    <mergeCell ref="P42:S42"/>
    <mergeCell ref="T42:W42"/>
    <mergeCell ref="X42:AA42"/>
    <mergeCell ref="AB42:AE42"/>
    <mergeCell ref="AF42:AI42"/>
    <mergeCell ref="AJ42:AM42"/>
    <mergeCell ref="AN42:AQ42"/>
    <mergeCell ref="AR42:AU42"/>
    <mergeCell ref="AV42:AY42"/>
    <mergeCell ref="A43:C43"/>
    <mergeCell ref="D43:G43"/>
    <mergeCell ref="H43:K43"/>
    <mergeCell ref="L43:O43"/>
    <mergeCell ref="P43:S43"/>
    <mergeCell ref="T43:W43"/>
    <mergeCell ref="X43:AA43"/>
    <mergeCell ref="AB43:AE43"/>
    <mergeCell ref="AF43:AI43"/>
    <mergeCell ref="AJ43:AM43"/>
    <mergeCell ref="AN43:AQ43"/>
    <mergeCell ref="AR43:AU43"/>
    <mergeCell ref="AV43:AY43"/>
    <mergeCell ref="A44:C44"/>
    <mergeCell ref="D44:G44"/>
    <mergeCell ref="H44:K44"/>
    <mergeCell ref="L44:O44"/>
    <mergeCell ref="P44:S44"/>
    <mergeCell ref="T44:W44"/>
    <mergeCell ref="X44:AA44"/>
    <mergeCell ref="AB44:AE44"/>
    <mergeCell ref="AF44:AI44"/>
    <mergeCell ref="AJ44:AM44"/>
    <mergeCell ref="AN44:AQ44"/>
    <mergeCell ref="AR44:AU44"/>
    <mergeCell ref="AV44:AY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4" min="3" style="0" width="20"/>
    <col collapsed="false" customWidth="true" hidden="false" outlineLevel="0" max="7" min="5" style="0" width="16"/>
  </cols>
  <sheetData>
    <row r="2" customFormat="false" ht="15" hidden="false" customHeight="true" outlineLevel="0" collapsed="false">
      <c r="B2" s="62" t="s">
        <v>177</v>
      </c>
      <c r="C2" s="62"/>
      <c r="D2" s="62"/>
      <c r="E2" s="62"/>
      <c r="F2" s="62"/>
      <c r="G2" s="62"/>
    </row>
    <row r="4" customFormat="false" ht="15" hidden="false" customHeight="false" outlineLevel="0" collapsed="false">
      <c r="B4" s="16" t="s">
        <v>102</v>
      </c>
      <c r="C4" s="16" t="s">
        <v>103</v>
      </c>
      <c r="D4" s="16" t="s">
        <v>25</v>
      </c>
    </row>
    <row r="5" customFormat="false" ht="23.85" hidden="false" customHeight="false" outlineLevel="0" collapsed="false">
      <c r="B5" s="22" t="s">
        <v>178</v>
      </c>
      <c r="C5" s="85" t="n">
        <f aca="false">'Module 4 Flood-Landslide POD'!$AZ$26/12</f>
        <v>15.9666666666667</v>
      </c>
      <c r="D5" s="86" t="s">
        <v>179</v>
      </c>
    </row>
    <row r="6" customFormat="false" ht="23.85" hidden="false" customHeight="false" outlineLevel="0" collapsed="false">
      <c r="B6" s="22" t="s">
        <v>106</v>
      </c>
      <c r="C6" s="87" t="n">
        <f aca="false">'Module 4 Flood-Landslide POD'!$BB$28</f>
        <v>1287552</v>
      </c>
      <c r="D6" s="86" t="s">
        <v>180</v>
      </c>
    </row>
    <row r="7" customFormat="false" ht="23.85" hidden="false" customHeight="false" outlineLevel="0" collapsed="false">
      <c r="B7" s="22" t="s">
        <v>181</v>
      </c>
      <c r="C7" s="67" t="n">
        <f aca="false">C6*0.15</f>
        <v>193132.8</v>
      </c>
      <c r="D7" s="86" t="s">
        <v>182</v>
      </c>
    </row>
    <row r="8" customFormat="false" ht="23.85" hidden="false" customHeight="false" outlineLevel="0" collapsed="false">
      <c r="B8" s="38" t="s">
        <v>108</v>
      </c>
      <c r="C8" s="88" t="n">
        <f aca="false">C6+C7</f>
        <v>1480684.8</v>
      </c>
      <c r="D8" s="86" t="s">
        <v>183</v>
      </c>
    </row>
    <row r="9" customFormat="false" ht="23.85" hidden="false" customHeight="false" outlineLevel="0" collapsed="false">
      <c r="B9" s="22" t="s">
        <v>184</v>
      </c>
      <c r="C9" s="89" t="n">
        <v>0.1</v>
      </c>
      <c r="D9" s="86" t="s">
        <v>185</v>
      </c>
    </row>
    <row r="10" customFormat="false" ht="23.85" hidden="false" customHeight="false" outlineLevel="0" collapsed="false">
      <c r="B10" s="38" t="s">
        <v>186</v>
      </c>
      <c r="C10" s="90" t="n">
        <f aca="false">C8*(1-C9)</f>
        <v>1332616.32</v>
      </c>
      <c r="D10" s="91" t="s">
        <v>187</v>
      </c>
    </row>
    <row r="12" customFormat="false" ht="15" hidden="false" customHeight="true" outlineLevel="0" collapsed="false">
      <c r="B12" s="92" t="s">
        <v>188</v>
      </c>
      <c r="C12" s="92"/>
      <c r="D12" s="92"/>
      <c r="E12" s="92"/>
      <c r="F12" s="92"/>
      <c r="G12" s="92"/>
    </row>
    <row r="13" customFormat="false" ht="15" hidden="false" customHeight="true" outlineLevel="0" collapsed="false">
      <c r="B13" s="16" t="s">
        <v>189</v>
      </c>
      <c r="C13" s="16" t="s">
        <v>190</v>
      </c>
      <c r="D13" s="16" t="s">
        <v>191</v>
      </c>
      <c r="E13" s="16" t="s">
        <v>192</v>
      </c>
      <c r="F13" s="16" t="s">
        <v>193</v>
      </c>
      <c r="G13" s="16"/>
    </row>
    <row r="14" customFormat="false" ht="25.5" hidden="false" customHeight="true" outlineLevel="0" collapsed="false">
      <c r="B14" s="22" t="s">
        <v>194</v>
      </c>
      <c r="C14" s="93" t="n">
        <v>0.25</v>
      </c>
      <c r="D14" s="94" t="n">
        <v>12</v>
      </c>
      <c r="E14" s="25" t="n">
        <f aca="false">C14*D14</f>
        <v>3</v>
      </c>
      <c r="F14" s="86" t="s">
        <v>195</v>
      </c>
      <c r="G14" s="86"/>
    </row>
    <row r="15" customFormat="false" ht="25.5" hidden="false" customHeight="true" outlineLevel="0" collapsed="false">
      <c r="B15" s="22" t="s">
        <v>196</v>
      </c>
      <c r="C15" s="93" t="n">
        <v>0.75</v>
      </c>
      <c r="D15" s="94" t="n">
        <v>12</v>
      </c>
      <c r="E15" s="25" t="n">
        <f aca="false">C15*D15</f>
        <v>9</v>
      </c>
      <c r="F15" s="86" t="s">
        <v>197</v>
      </c>
      <c r="G15" s="86"/>
    </row>
    <row r="16" customFormat="false" ht="25.5" hidden="false" customHeight="true" outlineLevel="0" collapsed="false">
      <c r="B16" s="22" t="s">
        <v>198</v>
      </c>
      <c r="C16" s="93" t="n">
        <v>0.75</v>
      </c>
      <c r="D16" s="94" t="n">
        <v>12</v>
      </c>
      <c r="E16" s="25" t="n">
        <f aca="false">C16*D16</f>
        <v>9</v>
      </c>
      <c r="F16" s="86" t="s">
        <v>199</v>
      </c>
      <c r="G16" s="86"/>
    </row>
    <row r="17" customFormat="false" ht="25.5" hidden="false" customHeight="true" outlineLevel="0" collapsed="false">
      <c r="B17" s="22" t="s">
        <v>75</v>
      </c>
      <c r="C17" s="93" t="n">
        <v>0.4</v>
      </c>
      <c r="D17" s="94" t="n">
        <v>12</v>
      </c>
      <c r="E17" s="25" t="n">
        <f aca="false">C17*D17</f>
        <v>4.8</v>
      </c>
      <c r="F17" s="86" t="s">
        <v>200</v>
      </c>
      <c r="G17" s="86"/>
    </row>
    <row r="18" customFormat="false" ht="25.5" hidden="false" customHeight="true" outlineLevel="0" collapsed="false">
      <c r="B18" s="22" t="s">
        <v>201</v>
      </c>
      <c r="C18" s="93" t="n">
        <v>0.4</v>
      </c>
      <c r="D18" s="94" t="n">
        <v>12</v>
      </c>
      <c r="E18" s="25" t="n">
        <f aca="false">C18*D18</f>
        <v>4.8</v>
      </c>
      <c r="F18" s="86" t="s">
        <v>202</v>
      </c>
      <c r="G18" s="86"/>
    </row>
    <row r="19" customFormat="false" ht="25.5" hidden="false" customHeight="true" outlineLevel="0" collapsed="false">
      <c r="B19" s="22" t="s">
        <v>203</v>
      </c>
      <c r="C19" s="93" t="n">
        <v>0.2</v>
      </c>
      <c r="D19" s="94" t="n">
        <v>12</v>
      </c>
      <c r="E19" s="25" t="n">
        <f aca="false">C19*D19</f>
        <v>2.4</v>
      </c>
      <c r="F19" s="86" t="s">
        <v>204</v>
      </c>
      <c r="G19" s="86"/>
    </row>
    <row r="20" customFormat="false" ht="15" hidden="false" customHeight="false" outlineLevel="0" collapsed="false">
      <c r="B20" s="28" t="s">
        <v>205</v>
      </c>
      <c r="C20" s="95" t="n">
        <f aca="false">SUM(C14:C19)</f>
        <v>2.75</v>
      </c>
      <c r="D20" s="30"/>
      <c r="E20" s="29" t="n">
        <f aca="false">SUM(E14:E19)</f>
        <v>33</v>
      </c>
      <c r="F20" s="30"/>
      <c r="G20" s="30"/>
    </row>
    <row r="21" customFormat="false" ht="15" hidden="false" customHeight="false" outlineLevel="0" collapsed="false">
      <c r="B21" s="22" t="s">
        <v>206</v>
      </c>
      <c r="C21" s="67" t="n">
        <f aca="false">E20*'Module 4 Flood-Landslide POD'!$BB$30*40</f>
        <v>221760</v>
      </c>
      <c r="D21" s="47"/>
    </row>
    <row r="22" customFormat="false" ht="15" hidden="false" customHeight="false" outlineLevel="0" collapsed="false">
      <c r="B22" s="22" t="s">
        <v>207</v>
      </c>
      <c r="C22" s="67" t="n">
        <f aca="false">C21*0.15</f>
        <v>33264</v>
      </c>
      <c r="D22" s="47"/>
    </row>
    <row r="23" customFormat="false" ht="15" hidden="false" customHeight="false" outlineLevel="0" collapsed="false">
      <c r="B23" s="38" t="s">
        <v>208</v>
      </c>
      <c r="C23" s="88" t="n">
        <f aca="false">C21+C22</f>
        <v>255024</v>
      </c>
      <c r="D23" s="47"/>
    </row>
    <row r="24" customFormat="false" ht="15" hidden="false" customHeight="false" outlineLevel="0" collapsed="false">
      <c r="B24" s="38" t="s">
        <v>209</v>
      </c>
      <c r="C24" s="90" t="n">
        <f aca="false">C23*(1-$C$9)</f>
        <v>229521.6</v>
      </c>
      <c r="D24" s="51"/>
    </row>
    <row r="26" customFormat="false" ht="35.05" hidden="false" customHeight="false" outlineLevel="0" collapsed="false">
      <c r="B26" s="22" t="s">
        <v>210</v>
      </c>
      <c r="C26" s="87" t="n">
        <f aca="false">'Module 4 Hybrid Infra'!$F$17</f>
        <v>96500</v>
      </c>
      <c r="D26" s="86" t="s">
        <v>211</v>
      </c>
    </row>
    <row r="29" customFormat="false" ht="15" hidden="false" customHeight="false" outlineLevel="0" collapsed="false">
      <c r="B29" s="52" t="s">
        <v>212</v>
      </c>
    </row>
    <row r="31" customFormat="false" ht="15" hidden="false" customHeight="false" outlineLevel="0" collapsed="false">
      <c r="B31" s="53" t="s">
        <v>114</v>
      </c>
      <c r="C31" s="53" t="s">
        <v>115</v>
      </c>
      <c r="D31" s="53" t="s">
        <v>116</v>
      </c>
      <c r="E31" s="53" t="s">
        <v>117</v>
      </c>
      <c r="F31" s="53" t="s">
        <v>118</v>
      </c>
      <c r="G31" s="53" t="s">
        <v>96</v>
      </c>
    </row>
    <row r="32" customFormat="false" ht="23.85" hidden="false" customHeight="true" outlineLevel="0" collapsed="false">
      <c r="B32" s="54" t="s">
        <v>213</v>
      </c>
      <c r="C32" s="55" t="s">
        <v>120</v>
      </c>
      <c r="D32" s="96" t="n">
        <f aca="false">$C$10</f>
        <v>1332616.32</v>
      </c>
      <c r="E32" s="96"/>
      <c r="F32" s="96"/>
      <c r="G32" s="96" t="n">
        <f aca="false">SUM(D32:F32)</f>
        <v>1332616.32</v>
      </c>
    </row>
    <row r="33" customFormat="false" ht="23.85" hidden="false" customHeight="false" outlineLevel="0" collapsed="false">
      <c r="B33" s="54"/>
      <c r="C33" s="55" t="s">
        <v>214</v>
      </c>
      <c r="D33" s="96"/>
      <c r="E33" s="96" t="n">
        <f aca="false">$C$24</f>
        <v>229521.6</v>
      </c>
      <c r="F33" s="96" t="n">
        <f aca="false">$C$24</f>
        <v>229521.6</v>
      </c>
      <c r="G33" s="96" t="n">
        <f aca="false">SUM(D33:F33)</f>
        <v>459043.2</v>
      </c>
    </row>
    <row r="34" customFormat="false" ht="15" hidden="false" customHeight="false" outlineLevel="0" collapsed="false">
      <c r="B34" s="54"/>
      <c r="C34" s="54" t="s">
        <v>96</v>
      </c>
      <c r="D34" s="97" t="n">
        <f aca="false">SUM(D32:D33)</f>
        <v>1332616.32</v>
      </c>
      <c r="E34" s="97" t="n">
        <f aca="false">SUM(E32:E33)</f>
        <v>229521.6</v>
      </c>
      <c r="F34" s="97" t="n">
        <f aca="false">SUM(F32:F33)</f>
        <v>229521.6</v>
      </c>
      <c r="G34" s="97" t="n">
        <f aca="false">SUM(D34:F34)</f>
        <v>1791659.52</v>
      </c>
    </row>
    <row r="35" customFormat="false" ht="23.85" hidden="false" customHeight="true" outlineLevel="0" collapsed="false">
      <c r="B35" s="54" t="s">
        <v>215</v>
      </c>
      <c r="C35" s="55" t="s">
        <v>216</v>
      </c>
      <c r="D35" s="96" t="n">
        <f aca="false">$C$26</f>
        <v>96500</v>
      </c>
      <c r="E35" s="96" t="n">
        <f aca="false">$C$26</f>
        <v>96500</v>
      </c>
      <c r="F35" s="96" t="n">
        <f aca="false">$C$26</f>
        <v>96500</v>
      </c>
      <c r="G35" s="96" t="n">
        <f aca="false">SUM(D35:F35)</f>
        <v>289500</v>
      </c>
    </row>
    <row r="36" customFormat="false" ht="15" hidden="false" customHeight="false" outlineLevel="0" collapsed="false">
      <c r="B36" s="54"/>
      <c r="C36" s="54" t="s">
        <v>96</v>
      </c>
      <c r="D36" s="97" t="n">
        <f aca="false">SUM(D35:D35)</f>
        <v>96500</v>
      </c>
      <c r="E36" s="97" t="n">
        <f aca="false">SUM(E35:E35)</f>
        <v>96500</v>
      </c>
      <c r="F36" s="97" t="n">
        <f aca="false">SUM(F35:F35)</f>
        <v>96500</v>
      </c>
      <c r="G36" s="97" t="n">
        <f aca="false">SUM(D36:F36)</f>
        <v>289500</v>
      </c>
    </row>
    <row r="37" customFormat="false" ht="15" hidden="false" customHeight="true" outlineLevel="0" collapsed="false">
      <c r="B37" s="58" t="s">
        <v>123</v>
      </c>
      <c r="C37" s="58"/>
      <c r="D37" s="98" t="n">
        <f aca="false">D34+D36</f>
        <v>1429116.32</v>
      </c>
      <c r="E37" s="98" t="n">
        <f aca="false">E34+E36</f>
        <v>326021.6</v>
      </c>
      <c r="F37" s="98" t="n">
        <f aca="false">F34+F36</f>
        <v>326021.6</v>
      </c>
      <c r="G37" s="98" t="n">
        <f aca="false">G34+G36</f>
        <v>2081159.52</v>
      </c>
    </row>
  </sheetData>
  <mergeCells count="13">
    <mergeCell ref="B2:G2"/>
    <mergeCell ref="B12:G12"/>
    <mergeCell ref="F13:G13"/>
    <mergeCell ref="F14:G14"/>
    <mergeCell ref="F15:G15"/>
    <mergeCell ref="F16:G16"/>
    <mergeCell ref="F17:G17"/>
    <mergeCell ref="F18:G18"/>
    <mergeCell ref="F19:G19"/>
    <mergeCell ref="F20:G20"/>
    <mergeCell ref="B32:B34"/>
    <mergeCell ref="B35:B36"/>
    <mergeCell ref="B37:C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44"/>
    <col collapsed="false" customWidth="true" hidden="false" outlineLevel="0" max="4" min="4" style="0" width="24"/>
    <col collapsed="false" customWidth="true" hidden="false" outlineLevel="0" max="5" min="5" style="0" width="52"/>
    <col collapsed="false" customWidth="true" hidden="false" outlineLevel="0" max="6" min="6" style="0" width="18"/>
  </cols>
  <sheetData>
    <row r="2" customFormat="false" ht="15" hidden="false" customHeight="true" outlineLevel="0" collapsed="false">
      <c r="B2" s="62" t="s">
        <v>217</v>
      </c>
      <c r="C2" s="62"/>
      <c r="D2" s="62"/>
      <c r="E2" s="62"/>
      <c r="F2" s="62"/>
    </row>
    <row r="3" customFormat="false" ht="23.85" hidden="false" customHeight="true" outlineLevel="0" collapsed="false">
      <c r="B3" s="63" t="s">
        <v>218</v>
      </c>
      <c r="C3" s="63"/>
      <c r="D3" s="63"/>
      <c r="E3" s="63"/>
      <c r="F3" s="63"/>
    </row>
    <row r="5" customFormat="false" ht="15" hidden="false" customHeight="true" outlineLevel="0" collapsed="false">
      <c r="B5" s="92" t="s">
        <v>219</v>
      </c>
      <c r="C5" s="92"/>
      <c r="D5" s="92"/>
      <c r="E5" s="92"/>
      <c r="F5" s="92"/>
    </row>
    <row r="6" customFormat="false" ht="15" hidden="false" customHeight="false" outlineLevel="0" collapsed="false">
      <c r="B6" s="16" t="s">
        <v>220</v>
      </c>
      <c r="C6" s="16" t="s">
        <v>221</v>
      </c>
      <c r="D6" s="16" t="s">
        <v>222</v>
      </c>
      <c r="E6" s="16" t="s">
        <v>223</v>
      </c>
      <c r="F6" s="16" t="s">
        <v>224</v>
      </c>
    </row>
    <row r="7" customFormat="false" ht="25.5" hidden="false" customHeight="true" outlineLevel="0" collapsed="false">
      <c r="B7" s="22" t="s">
        <v>225</v>
      </c>
      <c r="C7" s="22" t="s">
        <v>226</v>
      </c>
      <c r="D7" s="22" t="s">
        <v>227</v>
      </c>
      <c r="E7" s="22" t="s">
        <v>228</v>
      </c>
      <c r="F7" s="99" t="n">
        <v>26000</v>
      </c>
    </row>
    <row r="8" customFormat="false" ht="25.5" hidden="false" customHeight="true" outlineLevel="0" collapsed="false">
      <c r="B8" s="22" t="s">
        <v>225</v>
      </c>
      <c r="C8" s="22" t="s">
        <v>229</v>
      </c>
      <c r="D8" s="22" t="s">
        <v>227</v>
      </c>
      <c r="E8" s="22" t="s">
        <v>230</v>
      </c>
      <c r="F8" s="99" t="n">
        <v>11000</v>
      </c>
    </row>
    <row r="9" customFormat="false" ht="25.5" hidden="false" customHeight="true" outlineLevel="0" collapsed="false">
      <c r="B9" s="22" t="s">
        <v>231</v>
      </c>
      <c r="C9" s="22" t="s">
        <v>232</v>
      </c>
      <c r="D9" s="22" t="s">
        <v>227</v>
      </c>
      <c r="E9" s="22" t="s">
        <v>233</v>
      </c>
      <c r="F9" s="99" t="n">
        <v>13500</v>
      </c>
    </row>
    <row r="10" customFormat="false" ht="25.5" hidden="false" customHeight="true" outlineLevel="0" collapsed="false">
      <c r="B10" s="22" t="s">
        <v>234</v>
      </c>
      <c r="C10" s="22" t="s">
        <v>235</v>
      </c>
      <c r="D10" s="22" t="s">
        <v>227</v>
      </c>
      <c r="E10" s="22" t="s">
        <v>236</v>
      </c>
      <c r="F10" s="99" t="n">
        <v>9000</v>
      </c>
    </row>
    <row r="11" customFormat="false" ht="25.5" hidden="false" customHeight="true" outlineLevel="0" collapsed="false">
      <c r="B11" s="22" t="s">
        <v>237</v>
      </c>
      <c r="C11" s="22" t="s">
        <v>238</v>
      </c>
      <c r="D11" s="22" t="s">
        <v>227</v>
      </c>
      <c r="E11" s="22" t="s">
        <v>239</v>
      </c>
      <c r="F11" s="99" t="n">
        <v>7500</v>
      </c>
    </row>
    <row r="12" customFormat="false" ht="25.5" hidden="false" customHeight="true" outlineLevel="0" collapsed="false">
      <c r="B12" s="22" t="s">
        <v>240</v>
      </c>
      <c r="C12" s="22" t="s">
        <v>241</v>
      </c>
      <c r="D12" s="22" t="s">
        <v>227</v>
      </c>
      <c r="E12" s="22" t="s">
        <v>242</v>
      </c>
      <c r="F12" s="99" t="n">
        <v>6000</v>
      </c>
    </row>
    <row r="13" customFormat="false" ht="25.5" hidden="false" customHeight="true" outlineLevel="0" collapsed="false">
      <c r="B13" s="22" t="s">
        <v>243</v>
      </c>
      <c r="C13" s="22" t="s">
        <v>244</v>
      </c>
      <c r="D13" s="22" t="s">
        <v>227</v>
      </c>
      <c r="E13" s="22" t="s">
        <v>245</v>
      </c>
      <c r="F13" s="99" t="n">
        <v>4500</v>
      </c>
    </row>
    <row r="14" customFormat="false" ht="25.5" hidden="false" customHeight="true" outlineLevel="0" collapsed="false">
      <c r="B14" s="22" t="s">
        <v>246</v>
      </c>
      <c r="C14" s="22" t="s">
        <v>247</v>
      </c>
      <c r="D14" s="22" t="s">
        <v>227</v>
      </c>
      <c r="E14" s="22" t="s">
        <v>248</v>
      </c>
      <c r="F14" s="99" t="n">
        <v>7000</v>
      </c>
    </row>
    <row r="15" customFormat="false" ht="25.5" hidden="false" customHeight="true" outlineLevel="0" collapsed="false">
      <c r="B15" s="22" t="s">
        <v>249</v>
      </c>
      <c r="C15" s="22" t="s">
        <v>250</v>
      </c>
      <c r="D15" s="22" t="s">
        <v>227</v>
      </c>
      <c r="E15" s="22" t="s">
        <v>251</v>
      </c>
      <c r="F15" s="99" t="n">
        <v>6500</v>
      </c>
    </row>
    <row r="16" customFormat="false" ht="25.5" hidden="false" customHeight="true" outlineLevel="0" collapsed="false">
      <c r="B16" s="22" t="s">
        <v>246</v>
      </c>
      <c r="C16" s="22" t="s">
        <v>252</v>
      </c>
      <c r="D16" s="22" t="s">
        <v>253</v>
      </c>
      <c r="E16" s="22" t="s">
        <v>254</v>
      </c>
      <c r="F16" s="99" t="n">
        <v>5500</v>
      </c>
    </row>
    <row r="17" customFormat="false" ht="15" hidden="false" customHeight="true" outlineLevel="0" collapsed="false">
      <c r="B17" s="28" t="s">
        <v>255</v>
      </c>
      <c r="C17" s="28"/>
      <c r="D17" s="28"/>
      <c r="E17" s="28"/>
      <c r="F17" s="69" t="n">
        <f aca="false">SUM(F7:F16)</f>
        <v>96500</v>
      </c>
    </row>
    <row r="19" customFormat="false" ht="15" hidden="false" customHeight="true" outlineLevel="0" collapsed="false">
      <c r="B19" s="100" t="s">
        <v>256</v>
      </c>
      <c r="C19" s="100"/>
      <c r="D19" s="100"/>
      <c r="E19" s="100"/>
      <c r="F19" s="100"/>
    </row>
    <row r="20" customFormat="false" ht="23.85" hidden="false" customHeight="false" outlineLevel="0" collapsed="false">
      <c r="B20" s="16"/>
      <c r="C20" s="16" t="s">
        <v>257</v>
      </c>
      <c r="D20" s="16" t="s">
        <v>258</v>
      </c>
      <c r="E20" s="16"/>
      <c r="F20" s="16" t="s">
        <v>259</v>
      </c>
    </row>
    <row r="21" customFormat="false" ht="24" hidden="false" customHeight="true" outlineLevel="0" collapsed="false">
      <c r="B21" s="47"/>
      <c r="C21" s="38" t="s">
        <v>260</v>
      </c>
      <c r="D21" s="22" t="s">
        <v>261</v>
      </c>
      <c r="E21" s="22"/>
      <c r="F21" s="101" t="n">
        <v>0</v>
      </c>
    </row>
    <row r="22" customFormat="false" ht="24" hidden="false" customHeight="true" outlineLevel="0" collapsed="false">
      <c r="B22" s="47"/>
      <c r="C22" s="38" t="s">
        <v>231</v>
      </c>
      <c r="D22" s="22" t="s">
        <v>262</v>
      </c>
      <c r="E22" s="22"/>
      <c r="F22" s="101" t="n">
        <v>0</v>
      </c>
    </row>
    <row r="23" customFormat="false" ht="24" hidden="false" customHeight="true" outlineLevel="0" collapsed="false">
      <c r="B23" s="47"/>
      <c r="C23" s="38" t="s">
        <v>263</v>
      </c>
      <c r="D23" s="22" t="s">
        <v>264</v>
      </c>
      <c r="E23" s="22"/>
      <c r="F23" s="101" t="n">
        <v>0</v>
      </c>
    </row>
    <row r="24" customFormat="false" ht="24" hidden="false" customHeight="true" outlineLevel="0" collapsed="false">
      <c r="B24" s="47"/>
      <c r="C24" s="38" t="s">
        <v>265</v>
      </c>
      <c r="D24" s="22" t="s">
        <v>266</v>
      </c>
      <c r="E24" s="22"/>
      <c r="F24" s="101" t="n">
        <v>0</v>
      </c>
    </row>
    <row r="25" customFormat="false" ht="24" hidden="false" customHeight="true" outlineLevel="0" collapsed="false">
      <c r="B25" s="47"/>
      <c r="C25" s="38" t="s">
        <v>267</v>
      </c>
      <c r="D25" s="22" t="s">
        <v>268</v>
      </c>
      <c r="E25" s="22"/>
      <c r="F25" s="101" t="n">
        <v>0</v>
      </c>
    </row>
    <row r="26" customFormat="false" ht="15" hidden="false" customHeight="true" outlineLevel="0" collapsed="false">
      <c r="B26" s="100" t="s">
        <v>269</v>
      </c>
      <c r="C26" s="100"/>
      <c r="D26" s="100"/>
      <c r="E26" s="100"/>
      <c r="F26" s="102" t="n">
        <f aca="false">SUM(F21:F25)</f>
        <v>0</v>
      </c>
    </row>
    <row r="28" customFormat="false" ht="15" hidden="false" customHeight="true" outlineLevel="0" collapsed="false">
      <c r="B28" s="100" t="s">
        <v>270</v>
      </c>
      <c r="C28" s="100"/>
      <c r="D28" s="100"/>
      <c r="E28" s="100"/>
      <c r="F28" s="100"/>
    </row>
    <row r="29" customFormat="false" ht="30" hidden="false" customHeight="true" outlineLevel="0" collapsed="false">
      <c r="B29" s="64" t="n">
        <v>1</v>
      </c>
      <c r="C29" s="22" t="s">
        <v>271</v>
      </c>
      <c r="D29" s="22"/>
      <c r="E29" s="22"/>
      <c r="F29" s="22"/>
    </row>
    <row r="30" customFormat="false" ht="30" hidden="false" customHeight="true" outlineLevel="0" collapsed="false">
      <c r="B30" s="64" t="n">
        <v>2</v>
      </c>
      <c r="C30" s="22" t="s">
        <v>272</v>
      </c>
      <c r="D30" s="22"/>
      <c r="E30" s="22"/>
      <c r="F30" s="22"/>
    </row>
    <row r="31" customFormat="false" ht="30" hidden="false" customHeight="true" outlineLevel="0" collapsed="false">
      <c r="B31" s="64" t="n">
        <v>3</v>
      </c>
      <c r="C31" s="22" t="s">
        <v>273</v>
      </c>
      <c r="D31" s="22"/>
      <c r="E31" s="22"/>
      <c r="F31" s="22"/>
    </row>
    <row r="32" customFormat="false" ht="30" hidden="false" customHeight="true" outlineLevel="0" collapsed="false">
      <c r="B32" s="64" t="n">
        <v>4</v>
      </c>
      <c r="C32" s="22" t="s">
        <v>274</v>
      </c>
      <c r="D32" s="22"/>
      <c r="E32" s="22"/>
      <c r="F32" s="22"/>
    </row>
    <row r="33" customFormat="false" ht="30" hidden="false" customHeight="true" outlineLevel="0" collapsed="false">
      <c r="B33" s="64" t="n">
        <v>5</v>
      </c>
      <c r="C33" s="22" t="s">
        <v>275</v>
      </c>
      <c r="D33" s="22"/>
      <c r="E33" s="22"/>
      <c r="F33" s="22"/>
    </row>
  </sheetData>
  <mergeCells count="17">
    <mergeCell ref="B2:F2"/>
    <mergeCell ref="B3:F3"/>
    <mergeCell ref="B5:F5"/>
    <mergeCell ref="B17:E17"/>
    <mergeCell ref="B19:F19"/>
    <mergeCell ref="D21:E21"/>
    <mergeCell ref="D22:E22"/>
    <mergeCell ref="D23:E23"/>
    <mergeCell ref="D24:E24"/>
    <mergeCell ref="D25:E25"/>
    <mergeCell ref="B26:E26"/>
    <mergeCell ref="B28:F28"/>
    <mergeCell ref="C29:F29"/>
    <mergeCell ref="C30:F30"/>
    <mergeCell ref="C31:F31"/>
    <mergeCell ref="C32:F32"/>
    <mergeCell ref="C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4" min="3" style="0" width="20"/>
    <col collapsed="false" customWidth="true" hidden="false" outlineLevel="0" max="5" min="5" style="0" width="18"/>
    <col collapsed="false" customWidth="true" hidden="false" outlineLevel="0" max="6" min="6" style="0" width="14"/>
    <col collapsed="false" customWidth="true" hidden="false" outlineLevel="0" max="7" min="7" style="0" width="46"/>
  </cols>
  <sheetData>
    <row r="2" customFormat="false" ht="15" hidden="false" customHeight="true" outlineLevel="0" collapsed="false">
      <c r="B2" s="62" t="s">
        <v>276</v>
      </c>
      <c r="C2" s="62"/>
      <c r="D2" s="62"/>
      <c r="E2" s="62"/>
      <c r="F2" s="62"/>
      <c r="G2" s="62"/>
    </row>
    <row r="3" customFormat="false" ht="23.85" hidden="false" customHeight="true" outlineLevel="0" collapsed="false">
      <c r="B3" s="63" t="s">
        <v>277</v>
      </c>
      <c r="C3" s="63"/>
      <c r="D3" s="63"/>
      <c r="E3" s="63"/>
      <c r="F3" s="63"/>
      <c r="G3" s="63"/>
    </row>
    <row r="5" customFormat="false" ht="30" hidden="false" customHeight="true" outlineLevel="0" collapsed="false">
      <c r="B5" s="16" t="s">
        <v>278</v>
      </c>
      <c r="C5" s="16" t="s">
        <v>279</v>
      </c>
      <c r="D5" s="16" t="s">
        <v>280</v>
      </c>
      <c r="E5" s="16" t="s">
        <v>281</v>
      </c>
      <c r="F5" s="16" t="s">
        <v>282</v>
      </c>
      <c r="G5" s="16" t="s">
        <v>283</v>
      </c>
    </row>
    <row r="6" customFormat="false" ht="39.75" hidden="false" customHeight="true" outlineLevel="0" collapsed="false">
      <c r="B6" s="38" t="s">
        <v>284</v>
      </c>
      <c r="C6" s="67" t="n">
        <f aca="false">'Module 4 Cost Guidance'!$C$10</f>
        <v>1332616.32</v>
      </c>
      <c r="D6" s="99" t="n">
        <v>1176597</v>
      </c>
      <c r="E6" s="101" t="n">
        <f aca="false">C6-D6</f>
        <v>156019.32</v>
      </c>
      <c r="F6" s="103" t="n">
        <f aca="false">IF(D6=0,"",E6/D6)</f>
        <v>0.132602173896415</v>
      </c>
      <c r="G6" s="86" t="s">
        <v>285</v>
      </c>
    </row>
    <row r="7" customFormat="false" ht="39.75" hidden="false" customHeight="true" outlineLevel="0" collapsed="false">
      <c r="B7" s="38" t="s">
        <v>286</v>
      </c>
      <c r="C7" s="67" t="n">
        <f aca="false">'Module 4 Cost Guidance'!$C$26</f>
        <v>96500</v>
      </c>
      <c r="D7" s="99" t="n">
        <v>91974</v>
      </c>
      <c r="E7" s="101" t="n">
        <f aca="false">C7-D7</f>
        <v>4526</v>
      </c>
      <c r="F7" s="103" t="n">
        <f aca="false">IF(D7=0,"",E7/D7)</f>
        <v>0.0492095592232587</v>
      </c>
      <c r="G7" s="86" t="s">
        <v>287</v>
      </c>
    </row>
    <row r="8" customFormat="false" ht="39.75" hidden="false" customHeight="true" outlineLevel="0" collapsed="false">
      <c r="B8" s="38" t="s">
        <v>288</v>
      </c>
      <c r="C8" s="67" t="n">
        <f aca="false">'Module 4 Cost Guidance'!$C$24</f>
        <v>229521.6</v>
      </c>
      <c r="D8" s="99" t="n">
        <v>199795</v>
      </c>
      <c r="E8" s="101" t="n">
        <f aca="false">C8-D8</f>
        <v>29726.6</v>
      </c>
      <c r="F8" s="103" t="n">
        <f aca="false">IF(D8=0,"",E8/D8)</f>
        <v>0.148785505142771</v>
      </c>
      <c r="G8" s="86" t="s">
        <v>289</v>
      </c>
    </row>
    <row r="10" customFormat="false" ht="15" hidden="false" customHeight="false" outlineLevel="0" collapsed="false">
      <c r="B10" s="92" t="s">
        <v>290</v>
      </c>
      <c r="C10" s="104"/>
      <c r="D10" s="104"/>
      <c r="E10" s="104"/>
      <c r="F10" s="104"/>
      <c r="G10" s="104"/>
    </row>
    <row r="11" customFormat="false" ht="15" hidden="false" customHeight="false" outlineLevel="0" collapsed="false">
      <c r="B11" s="38" t="s">
        <v>291</v>
      </c>
      <c r="C11" s="67" t="n">
        <f aca="false">'Module 4 Cost Guidance'!$D$37</f>
        <v>1429116.32</v>
      </c>
      <c r="D11" s="99" t="n">
        <v>1268571</v>
      </c>
      <c r="E11" s="101" t="n">
        <f aca="false">C11-D11</f>
        <v>160545.32</v>
      </c>
      <c r="F11" s="103" t="n">
        <f aca="false">E11/D11</f>
        <v>0.126556038250914</v>
      </c>
      <c r="G11" s="47"/>
    </row>
    <row r="12" customFormat="false" ht="15" hidden="false" customHeight="false" outlineLevel="0" collapsed="false">
      <c r="B12" s="38" t="s">
        <v>292</v>
      </c>
      <c r="C12" s="67" t="n">
        <f aca="false">'Module 4 Cost Guidance'!$E$37</f>
        <v>326021.6</v>
      </c>
      <c r="D12" s="99" t="n">
        <v>291769</v>
      </c>
      <c r="E12" s="101" t="n">
        <f aca="false">C12-D12</f>
        <v>34252.6</v>
      </c>
      <c r="F12" s="103" t="n">
        <f aca="false">E12/D12</f>
        <v>0.117396296385154</v>
      </c>
      <c r="G12" s="47"/>
    </row>
    <row r="13" customFormat="false" ht="15" hidden="false" customHeight="false" outlineLevel="0" collapsed="false">
      <c r="B13" s="38" t="s">
        <v>293</v>
      </c>
      <c r="C13" s="67" t="n">
        <f aca="false">'Module 4 Cost Guidance'!$F$37</f>
        <v>326021.6</v>
      </c>
      <c r="D13" s="99" t="n">
        <v>291769</v>
      </c>
      <c r="E13" s="101" t="n">
        <f aca="false">C13-D13</f>
        <v>34252.6</v>
      </c>
      <c r="F13" s="103" t="n">
        <f aca="false">E13/D13</f>
        <v>0.117396296385154</v>
      </c>
      <c r="G13" s="47"/>
    </row>
    <row r="14" customFormat="false" ht="15" hidden="false" customHeight="false" outlineLevel="0" collapsed="false">
      <c r="B14" s="28" t="s">
        <v>294</v>
      </c>
      <c r="C14" s="105" t="n">
        <f aca="false">'Module 4 Cost Guidance'!$G$37</f>
        <v>2081159.52</v>
      </c>
      <c r="D14" s="106" t="n">
        <v>1852109</v>
      </c>
      <c r="E14" s="107" t="n">
        <f aca="false">C14-D14</f>
        <v>229050.52</v>
      </c>
      <c r="F14" s="108" t="n">
        <f aca="false">E14/D14</f>
        <v>0.123670107968808</v>
      </c>
      <c r="G14" s="30"/>
    </row>
    <row r="16" customFormat="false" ht="15" hidden="false" customHeight="false" outlineLevel="0" collapsed="false">
      <c r="B16" s="92" t="s">
        <v>295</v>
      </c>
      <c r="C16" s="104"/>
      <c r="D16" s="104"/>
      <c r="E16" s="104"/>
      <c r="F16" s="104"/>
      <c r="G16" s="104"/>
    </row>
    <row r="17" customFormat="false" ht="15" hidden="false" customHeight="true" outlineLevel="0" collapsed="false">
      <c r="B17" s="22" t="s">
        <v>108</v>
      </c>
      <c r="C17" s="67" t="n">
        <f aca="false">'Module 4 Cost Guidance'!$C$8</f>
        <v>1480684.8</v>
      </c>
      <c r="D17" s="109"/>
      <c r="E17" s="86" t="s">
        <v>296</v>
      </c>
      <c r="F17" s="86"/>
      <c r="G17" s="86"/>
    </row>
    <row r="18" customFormat="false" ht="15" hidden="false" customHeight="true" outlineLevel="0" collapsed="false">
      <c r="B18" s="22" t="s">
        <v>297</v>
      </c>
      <c r="C18" s="67" t="n">
        <f aca="false">'Module 4 Cost Guidance'!$C$10</f>
        <v>1332616.32</v>
      </c>
      <c r="D18" s="109" t="n">
        <f aca="false">1-C18/C17</f>
        <v>0.1</v>
      </c>
      <c r="E18" s="86" t="s">
        <v>298</v>
      </c>
      <c r="F18" s="86"/>
      <c r="G18" s="86"/>
    </row>
    <row r="19" customFormat="false" ht="15" hidden="false" customHeight="true" outlineLevel="0" collapsed="false">
      <c r="B19" s="22" t="s">
        <v>299</v>
      </c>
      <c r="C19" s="99" t="n">
        <v>1176597</v>
      </c>
      <c r="D19" s="109" t="n">
        <f aca="false">1-C19/C17</f>
        <v>0.205369704612352</v>
      </c>
      <c r="E19" s="86" t="s">
        <v>300</v>
      </c>
      <c r="F19" s="86"/>
      <c r="G19" s="86"/>
    </row>
    <row r="20" customFormat="false" ht="15" hidden="false" customHeight="true" outlineLevel="0" collapsed="false">
      <c r="B20" s="38" t="s">
        <v>301</v>
      </c>
      <c r="C20" s="101" t="n">
        <f aca="false">C18-C19</f>
        <v>156019.32</v>
      </c>
      <c r="D20" s="110" t="n">
        <f aca="false">D19-D18</f>
        <v>0.105369704612352</v>
      </c>
      <c r="E20" s="86" t="s">
        <v>302</v>
      </c>
      <c r="F20" s="86"/>
      <c r="G20" s="86"/>
    </row>
    <row r="22" customFormat="false" ht="15" hidden="false" customHeight="false" outlineLevel="0" collapsed="false">
      <c r="B22" s="92" t="s">
        <v>303</v>
      </c>
      <c r="C22" s="104"/>
      <c r="D22" s="104"/>
      <c r="E22" s="104"/>
      <c r="F22" s="104"/>
      <c r="G22" s="104"/>
    </row>
    <row r="23" customFormat="false" ht="31.5" hidden="false" customHeight="true" outlineLevel="0" collapsed="false">
      <c r="B23" s="64" t="n">
        <v>1</v>
      </c>
      <c r="C23" s="22" t="s">
        <v>304</v>
      </c>
      <c r="D23" s="22"/>
      <c r="E23" s="22"/>
      <c r="F23" s="22"/>
      <c r="G23" s="22"/>
    </row>
    <row r="24" customFormat="false" ht="31.5" hidden="false" customHeight="true" outlineLevel="0" collapsed="false">
      <c r="B24" s="64" t="n">
        <v>2</v>
      </c>
      <c r="C24" s="22" t="s">
        <v>305</v>
      </c>
      <c r="D24" s="22"/>
      <c r="E24" s="22"/>
      <c r="F24" s="22"/>
      <c r="G24" s="22"/>
    </row>
    <row r="25" customFormat="false" ht="31.5" hidden="false" customHeight="true" outlineLevel="0" collapsed="false">
      <c r="B25" s="64" t="n">
        <v>3</v>
      </c>
      <c r="C25" s="22" t="s">
        <v>306</v>
      </c>
      <c r="D25" s="22"/>
      <c r="E25" s="22"/>
      <c r="F25" s="22"/>
      <c r="G25" s="22"/>
    </row>
    <row r="26" customFormat="false" ht="31.5" hidden="false" customHeight="true" outlineLevel="0" collapsed="false">
      <c r="B26" s="64" t="n">
        <v>4</v>
      </c>
      <c r="C26" s="22" t="s">
        <v>307</v>
      </c>
      <c r="D26" s="22"/>
      <c r="E26" s="22"/>
      <c r="F26" s="22"/>
      <c r="G26" s="22"/>
    </row>
    <row r="27" customFormat="false" ht="31.5" hidden="false" customHeight="true" outlineLevel="0" collapsed="false">
      <c r="B27" s="64" t="n">
        <v>5</v>
      </c>
      <c r="C27" s="22" t="s">
        <v>308</v>
      </c>
      <c r="D27" s="22"/>
      <c r="E27" s="22"/>
      <c r="F27" s="22"/>
      <c r="G27" s="22"/>
    </row>
  </sheetData>
  <mergeCells count="11">
    <mergeCell ref="B2:G2"/>
    <mergeCell ref="B3:G3"/>
    <mergeCell ref="E17:G17"/>
    <mergeCell ref="E18:G18"/>
    <mergeCell ref="E19:G19"/>
    <mergeCell ref="E20:G20"/>
    <mergeCell ref="C23:G23"/>
    <mergeCell ref="C24:G24"/>
    <mergeCell ref="C25:G25"/>
    <mergeCell ref="C26:G26"/>
    <mergeCell ref="C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6"/>
    <col collapsed="false" customWidth="true" hidden="false" outlineLevel="0" max="3" min="3" style="1" width="22"/>
    <col collapsed="false" customWidth="true" hidden="false" outlineLevel="0" max="4" min="4" style="1" width="42"/>
    <col collapsed="false" customWidth="true" hidden="false" outlineLevel="0" max="7" min="5" style="1" width="24"/>
  </cols>
  <sheetData>
    <row r="1" customFormat="false" ht="17.25" hidden="false" customHeight="true" outlineLevel="0" collapsed="false">
      <c r="A1" s="111" t="s">
        <v>309</v>
      </c>
      <c r="B1" s="111"/>
      <c r="C1" s="111"/>
    </row>
    <row r="3" customFormat="false" ht="45.75" hidden="false" customHeight="true" outlineLevel="0" collapsed="false">
      <c r="A3" s="16" t="s">
        <v>310</v>
      </c>
      <c r="B3" s="16" t="s">
        <v>311</v>
      </c>
      <c r="C3" s="16" t="s">
        <v>312</v>
      </c>
      <c r="D3" s="16" t="s">
        <v>313</v>
      </c>
      <c r="E3" s="16" t="s">
        <v>314</v>
      </c>
      <c r="F3" s="16" t="s">
        <v>315</v>
      </c>
      <c r="G3" s="16" t="s">
        <v>316</v>
      </c>
    </row>
    <row r="4" customFormat="false" ht="30" hidden="false" customHeight="true" outlineLevel="0" collapsed="false">
      <c r="A4" s="22" t="s">
        <v>317</v>
      </c>
      <c r="B4" s="22" t="s">
        <v>318</v>
      </c>
      <c r="C4" s="22" t="s">
        <v>319</v>
      </c>
      <c r="D4" s="22" t="s">
        <v>320</v>
      </c>
      <c r="E4" s="112" t="n">
        <v>18000</v>
      </c>
      <c r="F4" s="112" t="n">
        <v>22000</v>
      </c>
      <c r="G4" s="112" t="n">
        <v>24000</v>
      </c>
    </row>
    <row r="5" customFormat="false" ht="30" hidden="false" customHeight="true" outlineLevel="0" collapsed="false">
      <c r="A5" s="22" t="s">
        <v>225</v>
      </c>
      <c r="B5" s="22" t="s">
        <v>321</v>
      </c>
      <c r="C5" s="22" t="s">
        <v>319</v>
      </c>
      <c r="D5" s="22" t="s">
        <v>322</v>
      </c>
      <c r="E5" s="112" t="n">
        <v>32000</v>
      </c>
      <c r="F5" s="112" t="n">
        <v>40000</v>
      </c>
      <c r="G5" s="112" t="n">
        <v>50000</v>
      </c>
    </row>
    <row r="6" customFormat="false" ht="30" hidden="false" customHeight="true" outlineLevel="0" collapsed="false">
      <c r="A6" s="22" t="s">
        <v>240</v>
      </c>
      <c r="B6" s="22" t="s">
        <v>323</v>
      </c>
      <c r="C6" s="22" t="s">
        <v>319</v>
      </c>
      <c r="D6" s="22" t="s">
        <v>324</v>
      </c>
      <c r="E6" s="112" t="n">
        <v>15000</v>
      </c>
      <c r="F6" s="112" t="n">
        <v>10000</v>
      </c>
      <c r="G6" s="112" t="n">
        <v>20000</v>
      </c>
    </row>
    <row r="7" customFormat="false" ht="30" hidden="false" customHeight="true" outlineLevel="0" collapsed="false">
      <c r="A7" s="22" t="s">
        <v>243</v>
      </c>
      <c r="B7" s="22" t="s">
        <v>325</v>
      </c>
      <c r="C7" s="22" t="s">
        <v>319</v>
      </c>
      <c r="D7" s="22" t="s">
        <v>326</v>
      </c>
      <c r="E7" s="112" t="n">
        <v>10000</v>
      </c>
      <c r="F7" s="112" t="n">
        <v>7000</v>
      </c>
      <c r="G7" s="112" t="n">
        <v>10000</v>
      </c>
    </row>
    <row r="8" customFormat="false" ht="30" hidden="false" customHeight="true" outlineLevel="0" collapsed="false">
      <c r="A8" s="22" t="s">
        <v>327</v>
      </c>
      <c r="B8" s="22" t="s">
        <v>328</v>
      </c>
      <c r="C8" s="22" t="s">
        <v>319</v>
      </c>
      <c r="D8" s="22" t="s">
        <v>329</v>
      </c>
      <c r="E8" s="112" t="n">
        <v>8000</v>
      </c>
      <c r="F8" s="112" t="n">
        <v>10000</v>
      </c>
      <c r="G8" s="112" t="n">
        <v>12000</v>
      </c>
    </row>
    <row r="9" customFormat="false" ht="30" hidden="false" customHeight="true" outlineLevel="0" collapsed="false">
      <c r="A9" s="22" t="s">
        <v>246</v>
      </c>
      <c r="B9" s="22" t="s">
        <v>330</v>
      </c>
      <c r="C9" s="22" t="s">
        <v>319</v>
      </c>
      <c r="D9" s="22" t="s">
        <v>331</v>
      </c>
      <c r="E9" s="112" t="n">
        <v>10000</v>
      </c>
      <c r="F9" s="112" t="n">
        <v>12000</v>
      </c>
      <c r="G9" s="112" t="n">
        <v>16000</v>
      </c>
    </row>
    <row r="10" customFormat="false" ht="30" hidden="false" customHeight="true" outlineLevel="0" collapsed="false">
      <c r="A10" s="22" t="s">
        <v>225</v>
      </c>
      <c r="B10" s="22" t="s">
        <v>332</v>
      </c>
      <c r="C10" s="22" t="s">
        <v>319</v>
      </c>
      <c r="D10" s="22" t="s">
        <v>333</v>
      </c>
      <c r="E10" s="112" t="n">
        <v>35000</v>
      </c>
      <c r="F10" s="112" t="n">
        <v>46000</v>
      </c>
      <c r="G10" s="112" t="n">
        <v>56000</v>
      </c>
    </row>
    <row r="11" customFormat="false" ht="30" hidden="false" customHeight="true" outlineLevel="0" collapsed="false">
      <c r="A11" s="22" t="s">
        <v>334</v>
      </c>
      <c r="B11" s="22" t="s">
        <v>335</v>
      </c>
      <c r="C11" s="22" t="s">
        <v>319</v>
      </c>
      <c r="D11" s="22" t="s">
        <v>336</v>
      </c>
      <c r="E11" s="112" t="n">
        <v>28000</v>
      </c>
      <c r="F11" s="112" t="n">
        <v>48000</v>
      </c>
      <c r="G11" s="112" t="n">
        <v>70000</v>
      </c>
    </row>
    <row r="12" customFormat="false" ht="30" hidden="false" customHeight="true" outlineLevel="0" collapsed="false">
      <c r="A12" s="22" t="s">
        <v>334</v>
      </c>
      <c r="B12" s="22" t="s">
        <v>337</v>
      </c>
      <c r="C12" s="22" t="s">
        <v>319</v>
      </c>
      <c r="D12" s="22" t="s">
        <v>338</v>
      </c>
      <c r="E12" s="112" t="n">
        <v>30000</v>
      </c>
      <c r="F12" s="112" t="n">
        <v>70000</v>
      </c>
      <c r="G12" s="112" t="n">
        <v>85000</v>
      </c>
    </row>
    <row r="13" customFormat="false" ht="30" hidden="false" customHeight="true" outlineLevel="0" collapsed="false">
      <c r="A13" s="22" t="s">
        <v>334</v>
      </c>
      <c r="B13" s="22" t="s">
        <v>339</v>
      </c>
      <c r="C13" s="22" t="s">
        <v>319</v>
      </c>
      <c r="D13" s="22" t="s">
        <v>340</v>
      </c>
      <c r="E13" s="112" t="n">
        <v>15000</v>
      </c>
      <c r="F13" s="112" t="n">
        <v>55000</v>
      </c>
      <c r="G13" s="112" t="n">
        <v>85000</v>
      </c>
    </row>
    <row r="14" customFormat="false" ht="30" hidden="false" customHeight="true" outlineLevel="0" collapsed="false">
      <c r="A14" s="22" t="s">
        <v>341</v>
      </c>
      <c r="B14" s="22" t="s">
        <v>342</v>
      </c>
      <c r="C14" s="22" t="s">
        <v>319</v>
      </c>
      <c r="D14" s="22" t="s">
        <v>343</v>
      </c>
      <c r="E14" s="112" t="n">
        <v>15000</v>
      </c>
      <c r="F14" s="112" t="n">
        <v>33500</v>
      </c>
      <c r="G14" s="112" t="n">
        <v>35986</v>
      </c>
    </row>
    <row r="15" customFormat="false" ht="15" hidden="false" customHeight="true" outlineLevel="0" collapsed="false">
      <c r="A15" s="16" t="s">
        <v>344</v>
      </c>
      <c r="B15" s="16"/>
      <c r="C15" s="16"/>
      <c r="D15" s="16"/>
      <c r="E15" s="113" t="n">
        <f aca="false">SUM(E4:E14)</f>
        <v>216000</v>
      </c>
      <c r="F15" s="113" t="n">
        <f aca="false">SUM(F4:F14)</f>
        <v>353500</v>
      </c>
      <c r="G15" s="113" t="n">
        <f aca="false">SUM(G4:G14)</f>
        <v>463986</v>
      </c>
    </row>
  </sheetData>
  <mergeCells count="2">
    <mergeCell ref="A1:C1"/>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3" min="1" style="1" width="11"/>
  </cols>
  <sheetData>
    <row r="1" customFormat="false" ht="15" hidden="false" customHeight="true" outlineLevel="0" collapsed="false">
      <c r="A1" s="114" t="s">
        <v>345</v>
      </c>
      <c r="B1" s="114"/>
      <c r="C1" s="114"/>
      <c r="D1" s="114"/>
      <c r="E1" s="114"/>
      <c r="F1" s="114"/>
      <c r="G1" s="114"/>
      <c r="H1" s="114"/>
      <c r="I1" s="114"/>
      <c r="J1" s="114"/>
      <c r="K1" s="114"/>
      <c r="L1" s="114"/>
      <c r="M1" s="114"/>
    </row>
    <row r="2" customFormat="false" ht="45.75" hidden="false" customHeight="true" outlineLevel="0" collapsed="false">
      <c r="A2" s="22" t="s">
        <v>346</v>
      </c>
      <c r="B2" s="22"/>
      <c r="C2" s="22"/>
      <c r="D2" s="22"/>
      <c r="E2" s="22"/>
      <c r="F2" s="22"/>
      <c r="G2" s="22"/>
      <c r="H2" s="22"/>
      <c r="I2" s="22"/>
      <c r="J2" s="22"/>
      <c r="K2" s="22"/>
      <c r="L2" s="22"/>
      <c r="M2" s="22"/>
    </row>
    <row r="3" customFormat="false" ht="33.75" hidden="false" customHeight="true" outlineLevel="0" collapsed="false">
      <c r="A3" s="22" t="s">
        <v>347</v>
      </c>
      <c r="B3" s="22"/>
      <c r="C3" s="22"/>
      <c r="D3" s="22"/>
      <c r="E3" s="22"/>
      <c r="F3" s="22"/>
      <c r="G3" s="22"/>
      <c r="H3" s="22"/>
      <c r="I3" s="22"/>
      <c r="J3" s="22"/>
      <c r="K3" s="22"/>
      <c r="L3" s="22"/>
      <c r="M3" s="22"/>
    </row>
    <row r="4" customFormat="false" ht="33.75" hidden="false" customHeight="true" outlineLevel="0" collapsed="false">
      <c r="A4" s="22" t="s">
        <v>348</v>
      </c>
      <c r="B4" s="22"/>
      <c r="C4" s="22"/>
      <c r="D4" s="22"/>
      <c r="E4" s="22"/>
      <c r="F4" s="22"/>
      <c r="G4" s="22"/>
      <c r="H4" s="22"/>
      <c r="I4" s="22"/>
      <c r="J4" s="22"/>
      <c r="K4" s="22"/>
      <c r="L4" s="22"/>
      <c r="M4" s="22"/>
    </row>
    <row r="5" customFormat="false" ht="33.75" hidden="false" customHeight="true" outlineLevel="0" collapsed="false">
      <c r="A5" s="22" t="s">
        <v>349</v>
      </c>
      <c r="B5" s="22"/>
      <c r="C5" s="22"/>
      <c r="D5" s="22"/>
      <c r="E5" s="22"/>
      <c r="F5" s="22"/>
      <c r="G5" s="22"/>
      <c r="H5" s="22"/>
      <c r="I5" s="22"/>
      <c r="J5" s="22"/>
      <c r="K5" s="22"/>
      <c r="L5" s="22"/>
      <c r="M5" s="22"/>
    </row>
    <row r="6" customFormat="false" ht="33.75" hidden="false" customHeight="true" outlineLevel="0" collapsed="false">
      <c r="A6" s="22" t="s">
        <v>350</v>
      </c>
      <c r="B6" s="22"/>
      <c r="C6" s="22"/>
      <c r="D6" s="22"/>
      <c r="E6" s="22"/>
      <c r="F6" s="22"/>
      <c r="G6" s="22"/>
      <c r="H6" s="22"/>
      <c r="I6" s="22"/>
      <c r="J6" s="22"/>
      <c r="K6" s="22"/>
      <c r="L6" s="22"/>
      <c r="M6" s="22"/>
    </row>
    <row r="7" customFormat="false" ht="33.75" hidden="false" customHeight="true" outlineLevel="0" collapsed="false">
      <c r="A7" s="22" t="s">
        <v>351</v>
      </c>
      <c r="B7" s="22"/>
      <c r="C7" s="22"/>
      <c r="D7" s="22"/>
      <c r="E7" s="22"/>
      <c r="F7" s="22"/>
      <c r="G7" s="22"/>
      <c r="H7" s="22"/>
      <c r="I7" s="22"/>
      <c r="J7" s="22"/>
      <c r="K7" s="22"/>
      <c r="L7" s="22"/>
      <c r="M7" s="22"/>
    </row>
    <row r="8" customFormat="false" ht="33.75" hidden="false" customHeight="true" outlineLevel="0" collapsed="false">
      <c r="A8" s="22" t="s">
        <v>352</v>
      </c>
      <c r="B8" s="22"/>
      <c r="C8" s="22"/>
      <c r="D8" s="22"/>
      <c r="E8" s="22"/>
      <c r="F8" s="22"/>
      <c r="G8" s="22"/>
      <c r="H8" s="22"/>
      <c r="I8" s="22"/>
      <c r="J8" s="22"/>
      <c r="K8" s="22"/>
      <c r="L8" s="22"/>
      <c r="M8" s="22"/>
    </row>
    <row r="9" customFormat="false" ht="15.75" hidden="false" customHeight="true" outlineLevel="0" collapsed="false">
      <c r="A9" s="47"/>
      <c r="B9" s="47"/>
      <c r="C9" s="47"/>
      <c r="D9" s="47"/>
      <c r="E9" s="47"/>
      <c r="F9" s="47"/>
      <c r="G9" s="47"/>
      <c r="H9" s="47"/>
      <c r="I9" s="47"/>
      <c r="J9" s="47"/>
      <c r="K9" s="47"/>
      <c r="L9" s="47"/>
      <c r="M9" s="47"/>
    </row>
    <row r="10" customFormat="false" ht="15.75" hidden="false" customHeight="true" outlineLevel="0" collapsed="false">
      <c r="A10" s="47"/>
      <c r="B10" s="47"/>
      <c r="C10" s="47"/>
      <c r="D10" s="47"/>
      <c r="E10" s="47"/>
      <c r="F10" s="47"/>
      <c r="G10" s="47"/>
      <c r="H10" s="47"/>
      <c r="I10" s="47"/>
      <c r="J10" s="47"/>
      <c r="K10" s="47"/>
      <c r="L10" s="47"/>
      <c r="M10" s="47"/>
    </row>
    <row r="11" customFormat="false" ht="15.75" hidden="false" customHeight="true" outlineLevel="0" collapsed="false">
      <c r="A11" s="47"/>
      <c r="B11" s="47"/>
      <c r="C11" s="47"/>
      <c r="D11" s="47"/>
      <c r="E11" s="47"/>
      <c r="F11" s="47"/>
      <c r="G11" s="47"/>
      <c r="H11" s="47"/>
      <c r="I11" s="47"/>
      <c r="J11" s="47"/>
      <c r="K11" s="47"/>
      <c r="L11" s="47"/>
      <c r="M11" s="47"/>
    </row>
    <row r="12" customFormat="false" ht="15.75" hidden="false" customHeight="true" outlineLevel="0" collapsed="false">
      <c r="A12" s="47"/>
      <c r="B12" s="47"/>
      <c r="C12" s="47"/>
      <c r="D12" s="47"/>
      <c r="E12" s="47"/>
      <c r="F12" s="47"/>
      <c r="G12" s="47"/>
      <c r="H12" s="47"/>
      <c r="I12" s="47"/>
      <c r="J12" s="47"/>
      <c r="K12" s="47"/>
      <c r="L12" s="47"/>
      <c r="M12" s="47"/>
    </row>
    <row r="13" customFormat="false" ht="15.75" hidden="false" customHeight="true" outlineLevel="0" collapsed="false">
      <c r="A13" s="47"/>
      <c r="B13" s="47"/>
      <c r="C13" s="47"/>
      <c r="D13" s="47"/>
      <c r="E13" s="47"/>
      <c r="F13" s="47"/>
      <c r="G13" s="47"/>
      <c r="H13" s="47"/>
      <c r="I13" s="47"/>
      <c r="J13" s="47"/>
      <c r="K13" s="47"/>
      <c r="L13" s="47"/>
      <c r="M13" s="47"/>
    </row>
    <row r="14" customFormat="false" ht="15.75" hidden="false" customHeight="true" outlineLevel="0" collapsed="false">
      <c r="A14" s="47"/>
      <c r="B14" s="47"/>
      <c r="C14" s="47"/>
      <c r="D14" s="47"/>
      <c r="E14" s="47"/>
      <c r="F14" s="47"/>
      <c r="G14" s="47"/>
      <c r="H14" s="47"/>
      <c r="I14" s="47"/>
      <c r="J14" s="47"/>
      <c r="K14" s="47"/>
      <c r="L14" s="47"/>
      <c r="M14" s="47"/>
    </row>
    <row r="15" customFormat="false" ht="15.75" hidden="false" customHeight="true" outlineLevel="0" collapsed="false">
      <c r="A15" s="47"/>
      <c r="B15" s="47"/>
      <c r="C15" s="47"/>
      <c r="D15" s="47"/>
      <c r="E15" s="47"/>
      <c r="F15" s="47"/>
      <c r="G15" s="47"/>
      <c r="H15" s="47"/>
      <c r="I15" s="47"/>
      <c r="J15" s="47"/>
      <c r="K15" s="47"/>
      <c r="L15" s="47"/>
      <c r="M15" s="47"/>
    </row>
    <row r="16" customFormat="false" ht="15.75" hidden="false" customHeight="true" outlineLevel="0" collapsed="false">
      <c r="A16" s="47"/>
      <c r="B16" s="47"/>
      <c r="C16" s="47"/>
      <c r="D16" s="47"/>
      <c r="E16" s="47"/>
      <c r="F16" s="47"/>
      <c r="G16" s="47"/>
      <c r="H16" s="47"/>
      <c r="I16" s="47"/>
      <c r="J16" s="47"/>
      <c r="K16" s="47"/>
      <c r="L16" s="47"/>
      <c r="M16" s="47"/>
    </row>
    <row r="17" customFormat="false" ht="15.75" hidden="false" customHeight="true" outlineLevel="0" collapsed="false">
      <c r="A17" s="47"/>
      <c r="B17" s="47"/>
      <c r="C17" s="47"/>
      <c r="D17" s="47"/>
      <c r="E17" s="47"/>
      <c r="F17" s="47"/>
      <c r="G17" s="47"/>
      <c r="H17" s="47"/>
      <c r="I17" s="47"/>
      <c r="J17" s="47"/>
      <c r="K17" s="47"/>
      <c r="L17" s="47"/>
      <c r="M17" s="47"/>
    </row>
    <row r="18" customFormat="false" ht="15.75" hidden="false" customHeight="true" outlineLevel="0" collapsed="false">
      <c r="A18" s="47"/>
      <c r="B18" s="47"/>
      <c r="C18" s="47"/>
      <c r="D18" s="47"/>
      <c r="E18" s="47"/>
      <c r="F18" s="47"/>
      <c r="G18" s="47"/>
      <c r="H18" s="47"/>
      <c r="I18" s="47"/>
      <c r="J18" s="47"/>
      <c r="K18" s="47"/>
      <c r="L18" s="47"/>
      <c r="M18" s="47"/>
    </row>
    <row r="19" customFormat="false" ht="15.75" hidden="false" customHeight="true" outlineLevel="0" collapsed="false">
      <c r="A19" s="47"/>
      <c r="B19" s="47"/>
      <c r="C19" s="47"/>
      <c r="D19" s="47"/>
      <c r="E19" s="47"/>
      <c r="F19" s="47"/>
      <c r="G19" s="47"/>
      <c r="H19" s="47"/>
      <c r="I19" s="47"/>
      <c r="J19" s="47"/>
      <c r="K19" s="47"/>
      <c r="L19" s="47"/>
      <c r="M19" s="47"/>
    </row>
    <row r="20" customFormat="false" ht="15.75" hidden="false" customHeight="true" outlineLevel="0" collapsed="false">
      <c r="A20" s="47"/>
      <c r="B20" s="47"/>
      <c r="C20" s="47"/>
      <c r="D20" s="47"/>
      <c r="E20" s="47"/>
      <c r="F20" s="47"/>
      <c r="G20" s="47"/>
      <c r="H20" s="47"/>
      <c r="I20" s="47"/>
      <c r="J20" s="47"/>
      <c r="K20" s="47"/>
      <c r="L20" s="47"/>
      <c r="M20" s="47"/>
    </row>
    <row r="21" customFormat="false" ht="15.75" hidden="false" customHeight="true" outlineLevel="0" collapsed="false">
      <c r="A21" s="47"/>
      <c r="B21" s="47"/>
      <c r="C21" s="47"/>
      <c r="D21" s="47"/>
      <c r="E21" s="47"/>
      <c r="F21" s="47"/>
      <c r="G21" s="47"/>
      <c r="H21" s="47"/>
      <c r="I21" s="47"/>
      <c r="J21" s="47"/>
      <c r="K21" s="47"/>
      <c r="L21" s="47"/>
      <c r="M21" s="47"/>
    </row>
    <row r="22" customFormat="false" ht="15.75" hidden="false" customHeight="true" outlineLevel="0" collapsed="false">
      <c r="A22" s="47"/>
      <c r="B22" s="47"/>
      <c r="C22" s="47"/>
      <c r="D22" s="47"/>
      <c r="E22" s="47"/>
      <c r="F22" s="47"/>
      <c r="G22" s="47"/>
      <c r="H22" s="47"/>
      <c r="I22" s="47"/>
      <c r="J22" s="47"/>
      <c r="K22" s="47"/>
      <c r="L22" s="47"/>
      <c r="M22" s="47"/>
    </row>
    <row r="23" customFormat="false" ht="15.75" hidden="false" customHeight="true" outlineLevel="0" collapsed="false">
      <c r="A23" s="47"/>
      <c r="B23" s="47"/>
      <c r="C23" s="47"/>
      <c r="D23" s="47"/>
      <c r="E23" s="47"/>
      <c r="F23" s="47"/>
      <c r="G23" s="47"/>
      <c r="H23" s="47"/>
      <c r="I23" s="47"/>
      <c r="J23" s="47"/>
      <c r="K23" s="47"/>
      <c r="L23" s="47"/>
      <c r="M23" s="47"/>
    </row>
    <row r="24" customFormat="false" ht="15.75" hidden="false" customHeight="true" outlineLevel="0" collapsed="false">
      <c r="A24" s="47"/>
      <c r="B24" s="47"/>
      <c r="C24" s="47"/>
      <c r="D24" s="47"/>
      <c r="E24" s="47"/>
      <c r="F24" s="47"/>
      <c r="G24" s="47"/>
      <c r="H24" s="47"/>
      <c r="I24" s="47"/>
      <c r="J24" s="47"/>
      <c r="K24" s="47"/>
      <c r="L24" s="47"/>
      <c r="M24" s="47"/>
    </row>
  </sheetData>
  <mergeCells count="24">
    <mergeCell ref="A1:M1"/>
    <mergeCell ref="A2:M2"/>
    <mergeCell ref="A3:M3"/>
    <mergeCell ref="A4:M4"/>
    <mergeCell ref="A5:M5"/>
    <mergeCell ref="A6:M6"/>
    <mergeCell ref="A7:M7"/>
    <mergeCell ref="A8:M8"/>
    <mergeCell ref="A9:M9"/>
    <mergeCell ref="A10:M10"/>
    <mergeCell ref="A11:M11"/>
    <mergeCell ref="A12:M12"/>
    <mergeCell ref="A13:M13"/>
    <mergeCell ref="A14:M14"/>
    <mergeCell ref="A15:M15"/>
    <mergeCell ref="A16:M16"/>
    <mergeCell ref="A17:M17"/>
    <mergeCell ref="A18:M18"/>
    <mergeCell ref="A19:M19"/>
    <mergeCell ref="A20:M20"/>
    <mergeCell ref="A21:M21"/>
    <mergeCell ref="A22:M22"/>
    <mergeCell ref="A23:M23"/>
    <mergeCell ref="A24:M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2026-08-05T04:21:45Z</dcterms:created>
  <dc:creator>openpyxl</dc:creator>
  <dc:description/>
  <dc:language>en-US</dc:language>
  <cp:lastModifiedBy/>
  <dcterms:modified xsi:type="dcterms:W3CDTF">2026-08-05T04:54:44Z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