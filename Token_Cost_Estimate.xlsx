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ken Breakdown" sheetId="1" state="visible" r:id="rId3"/>
    <sheet name="Cost Matrix" sheetId="2" state="visible" r:id="rId4"/>
    <sheet name="Sensitivity Range" sheetId="3" state="visible" r:id="rId5"/>
    <sheet name="Notes &amp; Assump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<sst xmlns="http://schemas.openxmlformats.org/spreadsheetml/2006/main" count="92" uniqueCount="74">
  <si>
    <t xml:space="preserve">Per-Record Token Estimate</t>
  </si>
  <si>
    <t xml:space="preserve">Component</t>
  </si>
  <si>
    <t xml:space="preserve">Tokens</t>
  </si>
  <si>
    <t xml:space="preserve">Notes</t>
  </si>
  <si>
    <t xml:space="preserve">Instruction prompt</t>
  </si>
  <si>
    <t xml:space="preserve">The verification prompt, sent once per call</t>
  </si>
  <si>
    <t xml:space="preserve">Row data (21 columns)</t>
  </si>
  <si>
    <t xml:space="preserve">Average row text size from Issuer_1.xlsx</t>
  </si>
  <si>
    <t xml:space="preserve">Web fetches (~2.5 pages × 5K tokens)</t>
  </si>
  <si>
    <t xml:space="preserve">Source URL + official site + cross-check</t>
  </si>
  <si>
    <t xml:space="preserve">Tool-use overhead</t>
  </si>
  <si>
    <t xml:space="preserve">Tool definitions and result framing for web_search/web_fetch</t>
  </si>
  <si>
    <t xml:space="preserve">Input total</t>
  </si>
  <si>
    <t xml:space="preserve">Sum of input components</t>
  </si>
  <si>
    <t xml:space="preserve">Visible output (11 columns)</t>
  </si>
  <si>
    <t xml:space="preserve">The actual verification fields emitted</t>
  </si>
  <si>
    <t xml:space="preserve">Reasoning / thinking</t>
  </si>
  <si>
    <t xml:space="preserve">Internal chain-of-thought during research</t>
  </si>
  <si>
    <t xml:space="preserve">Output total</t>
  </si>
  <si>
    <t xml:space="preserve">Sum of output components</t>
  </si>
  <si>
    <t xml:space="preserve">API Cost — Current Anthropic Pricing (May 2026)</t>
  </si>
  <si>
    <t xml:space="preserve">Pricing per 1M tokens</t>
  </si>
  <si>
    <t xml:space="preserve">Model</t>
  </si>
  <si>
    <t xml:space="preserve">Input ($/1M)</t>
  </si>
  <si>
    <t xml:space="preserve">Output ($/1M)</t>
  </si>
  <si>
    <t xml:space="preserve">Opus 4.7</t>
  </si>
  <si>
    <t xml:space="preserve">Sonnet 4.6</t>
  </si>
  <si>
    <t xml:space="preserve">Haiku 4.5</t>
  </si>
  <si>
    <t xml:space="preserve">Estimated Cost</t>
  </si>
  <si>
    <t xml:space="preserve">1 record</t>
  </si>
  <si>
    <t xml:space="preserve">100 records</t>
  </si>
  <si>
    <t xml:space="preserve">100 records (Batch API, 50% off)</t>
  </si>
  <si>
    <t xml:space="preserve">Cost Sensitivity — varies with web-research depth</t>
  </si>
  <si>
    <t xml:space="preserve">Scenario assumptions</t>
  </si>
  <si>
    <t xml:space="preserve">Scenario</t>
  </si>
  <si>
    <t xml:space="preserve">Input tokens / row</t>
  </si>
  <si>
    <t xml:space="preserve">Output tokens / row</t>
  </si>
  <si>
    <t xml:space="preserve">Description</t>
  </si>
  <si>
    <t xml:space="preserve">Low end</t>
  </si>
  <si>
    <t xml:space="preserve">Source URL works, one fetch, short page</t>
  </si>
  <si>
    <t xml:space="preserve">Realistic (used above)</t>
  </si>
  <si>
    <t xml:space="preserve">2-3 fetches, average page length</t>
  </si>
  <si>
    <t xml:space="preserve">High end</t>
  </si>
  <si>
    <t xml:space="preserve">Multiple fetches, long PDFs, retries</t>
  </si>
  <si>
    <t xml:space="preserve">Cost per record</t>
  </si>
  <si>
    <t xml:space="preserve">Cost per 100 records</t>
  </si>
  <si>
    <t xml:space="preserve">Notes &amp; Assumptions</t>
  </si>
  <si>
    <t xml:space="preserve">Token estimation method</t>
  </si>
  <si>
    <t xml:space="preserve">  • 1 token ≈ 4 characters of English / structured text (industry rule of thumb).</t>
  </si>
  <si>
    <t xml:space="preserve">  • Row data tokens measured from the actual 125 rows in Issuer_1.xlsx (avg ~497 chars / row).</t>
  </si>
  <si>
    <t xml:space="preserve">  • Web-fetch tokens assume ~5,000 tokens per fetched page after HTML extraction,</t>
  </si>
  <si>
    <t xml:space="preserve">    and ~2.5 fetches per row (source URL + the company's official site + a cross-check).</t>
  </si>
  <si>
    <t xml:space="preserve">  • Reasoning/thinking tokens (~1,000 / row) reflect extended-thinking output during</t>
  </si>
  <si>
    <t xml:space="preserve">    research; you can disable extended thinking to cut this to ~100 tokens.</t>
  </si>
  <si>
    <t xml:space="preserve">Pricing source</t>
  </si>
  <si>
    <t xml:space="preserve">  • Anthropic public API pricing as of May 2026:</t>
  </si>
  <si>
    <t xml:space="preserve">      Opus 4.7   — $5 input / $25 output per 1M tokens</t>
  </si>
  <si>
    <t xml:space="preserve">      Sonnet 4.6 — $3 input / $15 output per 1M tokens</t>
  </si>
  <si>
    <t xml:space="preserve">      Haiku 4.5  — $1 input / $5 output per 1M tokens</t>
  </si>
  <si>
    <t xml:space="preserve">  • Batch API: 50% discount on both input and output (24-hour SLA).</t>
  </si>
  <si>
    <t xml:space="preserve">  • Prompt caching: cache reads cost 10% of standard input price (small effect here</t>
  </si>
  <si>
    <t xml:space="preserve">    because web-fetched content dominates the input, not the instruction prompt).</t>
  </si>
  <si>
    <t xml:space="preserve">What can change the bill materially</t>
  </si>
  <si>
    <t xml:space="preserve">  • Number of pages fetched per row (biggest single driver).</t>
  </si>
  <si>
    <t xml:space="preserve">  • Page size — long PDFs or company integrated reports can be 20K+ tokens each.</t>
  </si>
  <si>
    <t xml:space="preserve">  • Whether extended thinking is enabled (off ≈ -900 output tokens / row).</t>
  </si>
  <si>
    <t xml:space="preserve">  • Caching the instruction prompt (small) or caching shared reference pages (larger).</t>
  </si>
  <si>
    <t xml:space="preserve">  • Tool retries when a source URL is broken — counts as additional input.</t>
  </si>
  <si>
    <t xml:space="preserve">Model recommendation for this task</t>
  </si>
  <si>
    <t xml:space="preserve">  • Haiku 4.5 is cheapest but likely to miss nuance on duplicate-entity matching</t>
  </si>
  <si>
    <t xml:space="preserve">    (e.g., 'Higashibu Osaka' = 'Yakult Osaka Tobu Sales') and Japanese romanization.</t>
  </si>
  <si>
    <t xml:space="preserve">  • Sonnet 4.6 is the cost/quality sweet spot — strong on entity resolution</t>
  </si>
  <si>
    <t xml:space="preserve">    and roughly 60% the cost of Opus 4.7.</t>
  </si>
  <si>
    <t xml:space="preserve">  • Opus 4.7 best for cases needing the highest precision on ambiguous matches.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</si>
</sst>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21.7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n">
        <v>480</v>
      </c>
      <c r="C4" s="3" t="s">
        <v>5</v>
      </c>
    </row>
    <row r="5" customFormat="false" ht="15" hidden="false" customHeight="false" outlineLevel="0" collapsed="false">
      <c r="A5" s="3" t="s">
        <v>6</v>
      </c>
      <c r="B5" s="3" t="n">
        <v>125</v>
      </c>
      <c r="C5" s="3" t="s">
        <v>7</v>
      </c>
    </row>
    <row r="6" customFormat="false" ht="15" hidden="false" customHeight="false" outlineLevel="0" collapsed="false">
      <c r="A6" s="3" t="s">
        <v>8</v>
      </c>
      <c r="B6" s="3" t="n">
        <v>12500</v>
      </c>
      <c r="C6" s="3" t="s">
        <v>9</v>
      </c>
    </row>
    <row r="7" customFormat="false" ht="15" hidden="false" customHeight="false" outlineLevel="0" collapsed="false">
      <c r="A7" s="3" t="s">
        <v>10</v>
      </c>
      <c r="B7" s="3" t="n">
        <v>800</v>
      </c>
      <c r="C7" s="3" t="s">
        <v>11</v>
      </c>
    </row>
    <row r="8" customFormat="false" ht="15" hidden="false" customHeight="false" outlineLevel="0" collapsed="false">
      <c r="A8" s="4" t="s">
        <v>12</v>
      </c>
      <c r="B8" s="4" t="n">
        <f aca="false">SUM(B4:B7)</f>
        <v>13905</v>
      </c>
      <c r="C8" s="4" t="s">
        <v>13</v>
      </c>
    </row>
    <row r="10" customFormat="false" ht="15" hidden="false" customHeight="false" outlineLevel="0" collapsed="false">
      <c r="A10" s="3" t="s">
        <v>14</v>
      </c>
      <c r="B10" s="3" t="n">
        <v>70</v>
      </c>
      <c r="C10" s="3" t="s">
        <v>15</v>
      </c>
    </row>
    <row r="11" customFormat="false" ht="15" hidden="false" customHeight="false" outlineLevel="0" collapsed="false">
      <c r="A11" s="3" t="s">
        <v>16</v>
      </c>
      <c r="B11" s="3" t="n">
        <v>1000</v>
      </c>
      <c r="C11" s="3" t="s">
        <v>17</v>
      </c>
    </row>
    <row r="12" customFormat="false" ht="15" hidden="false" customHeight="false" outlineLevel="0" collapsed="false">
      <c r="A12" s="4" t="s">
        <v>18</v>
      </c>
      <c r="B12" s="4" t="n">
        <f aca="false">SUM(B10:B11)</f>
        <v>1070</v>
      </c>
      <c r="C12" s="4" t="s">
        <v>19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28"/>
  </cols>
  <sheetData>
    <row r="1" customFormat="false" ht="17.35" hidden="false" customHeight="false" outlineLevel="0" collapsed="false">
      <c r="A1" s="1" t="s">
        <v>20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5" t="s">
        <v>21</v>
      </c>
    </row>
    <row r="4" customFormat="false" ht="15" hidden="false" customHeight="false" outlineLevel="0" collapsed="false">
      <c r="A4" s="6" t="s">
        <v>22</v>
      </c>
      <c r="B4" s="6" t="s">
        <v>23</v>
      </c>
      <c r="C4" s="6" t="s">
        <v>24</v>
      </c>
    </row>
    <row r="5" customFormat="false" ht="15" hidden="false" customHeight="false" outlineLevel="0" collapsed="false">
      <c r="A5" s="7" t="s">
        <v>25</v>
      </c>
      <c r="B5" s="8" t="n">
        <v>5</v>
      </c>
      <c r="C5" s="8" t="n">
        <v>25</v>
      </c>
    </row>
    <row r="6" customFormat="false" ht="15" hidden="false" customHeight="false" outlineLevel="0" collapsed="false">
      <c r="A6" s="7" t="s">
        <v>26</v>
      </c>
      <c r="B6" s="8" t="n">
        <v>3</v>
      </c>
      <c r="C6" s="8" t="n">
        <v>15</v>
      </c>
    </row>
    <row r="7" customFormat="false" ht="15" hidden="false" customHeight="false" outlineLevel="0" collapsed="false">
      <c r="A7" s="7" t="s">
        <v>27</v>
      </c>
      <c r="B7" s="8" t="n">
        <v>1</v>
      </c>
      <c r="C7" s="8" t="n">
        <v>5</v>
      </c>
    </row>
    <row r="10" customFormat="false" ht="15" hidden="false" customHeight="false" outlineLevel="0" collapsed="false">
      <c r="A10" s="5" t="s">
        <v>28</v>
      </c>
    </row>
    <row r="11" customFormat="false" ht="31.5" hidden="false" customHeight="true" outlineLevel="0" collapsed="false">
      <c r="A11" s="9" t="s">
        <v>22</v>
      </c>
      <c r="B11" s="9" t="s">
        <v>29</v>
      </c>
      <c r="C11" s="9" t="s">
        <v>30</v>
      </c>
      <c r="D11" s="9" t="s">
        <v>31</v>
      </c>
    </row>
    <row r="12" customFormat="false" ht="15" hidden="false" customHeight="false" outlineLevel="0" collapsed="false">
      <c r="A12" s="10" t="s">
        <v>25</v>
      </c>
      <c r="B12" s="11" t="n">
        <f aca="false">'Token Breakdown'!B8/1000000*5+'Token Breakdown'!B12/1000000*25</f>
        <v>0.096275</v>
      </c>
      <c r="C12" s="12" t="n">
        <f aca="false">100*('Token Breakdown'!B8/1000000*5+'Token Breakdown'!B12/1000000*25)</f>
        <v>9.6275</v>
      </c>
      <c r="D12" s="11" t="n">
        <f aca="false">0.5*100*('Token Breakdown'!B8/1000000*5+'Token Breakdown'!B12/1000000*25)</f>
        <v>4.81375</v>
      </c>
    </row>
    <row r="13" customFormat="false" ht="15" hidden="false" customHeight="false" outlineLevel="0" collapsed="false">
      <c r="A13" s="10" t="s">
        <v>26</v>
      </c>
      <c r="B13" s="11" t="n">
        <f aca="false">'Token Breakdown'!B8/1000000*3+'Token Breakdown'!B12/1000000*15</f>
        <v>0.057765</v>
      </c>
      <c r="C13" s="12" t="n">
        <f aca="false">100*('Token Breakdown'!B8/1000000*3+'Token Breakdown'!B12/1000000*15)</f>
        <v>5.7765</v>
      </c>
      <c r="D13" s="11" t="n">
        <f aca="false">0.5*100*('Token Breakdown'!B8/1000000*3+'Token Breakdown'!B12/1000000*15)</f>
        <v>2.88825</v>
      </c>
    </row>
    <row r="14" customFormat="false" ht="15" hidden="false" customHeight="false" outlineLevel="0" collapsed="false">
      <c r="A14" s="10" t="s">
        <v>27</v>
      </c>
      <c r="B14" s="11" t="n">
        <f aca="false">'Token Breakdown'!B8/1000000*1+'Token Breakdown'!B12/1000000*5</f>
        <v>0.019255</v>
      </c>
      <c r="C14" s="12" t="n">
        <f aca="false">100*('Token Breakdown'!B8/1000000*1+'Token Breakdown'!B12/1000000*5)</f>
        <v>1.9255</v>
      </c>
      <c r="D14" s="11" t="n">
        <f aca="false">0.5*100*('Token Breakdown'!B8/1000000*1+'Token Breakdown'!B12/1000000*5)</f>
        <v>0.96275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1" t="s">
        <v>32</v>
      </c>
      <c r="B1" s="1"/>
      <c r="C1" s="1"/>
      <c r="D1" s="1"/>
      <c r="E1" s="1"/>
    </row>
    <row r="3" customFormat="false" ht="15" hidden="false" customHeight="false" outlineLevel="0" collapsed="false">
      <c r="A3" s="5" t="s">
        <v>33</v>
      </c>
    </row>
    <row r="4" customFormat="false" ht="30" hidden="false" customHeight="true" outlineLevel="0" collapsed="false">
      <c r="A4" s="9" t="s">
        <v>34</v>
      </c>
      <c r="B4" s="9" t="s">
        <v>35</v>
      </c>
      <c r="C4" s="9" t="s">
        <v>36</v>
      </c>
      <c r="D4" s="9" t="s">
        <v>37</v>
      </c>
    </row>
    <row r="5" customFormat="false" ht="15" hidden="false" customHeight="false" outlineLevel="0" collapsed="false">
      <c r="A5" s="13" t="s">
        <v>38</v>
      </c>
      <c r="B5" s="14" t="n">
        <v>6000</v>
      </c>
      <c r="C5" s="14" t="n">
        <v>800</v>
      </c>
      <c r="D5" s="14" t="s">
        <v>39</v>
      </c>
    </row>
    <row r="6" customFormat="false" ht="15" hidden="false" customHeight="false" outlineLevel="0" collapsed="false">
      <c r="A6" s="13" t="s">
        <v>40</v>
      </c>
      <c r="B6" s="14" t="n">
        <v>13900</v>
      </c>
      <c r="C6" s="14" t="n">
        <v>1070</v>
      </c>
      <c r="D6" s="14" t="s">
        <v>41</v>
      </c>
    </row>
    <row r="7" customFormat="false" ht="15" hidden="false" customHeight="false" outlineLevel="0" collapsed="false">
      <c r="A7" s="13" t="s">
        <v>42</v>
      </c>
      <c r="B7" s="14" t="n">
        <v>25000</v>
      </c>
      <c r="C7" s="14" t="n">
        <v>1500</v>
      </c>
      <c r="D7" s="14" t="s">
        <v>43</v>
      </c>
    </row>
    <row r="10" customFormat="false" ht="15" hidden="false" customHeight="false" outlineLevel="0" collapsed="false">
      <c r="A10" s="5" t="s">
        <v>44</v>
      </c>
    </row>
    <row r="11" customFormat="false" ht="21.75" hidden="false" customHeight="true" outlineLevel="0" collapsed="false">
      <c r="A11" s="6" t="s">
        <v>34</v>
      </c>
      <c r="B11" s="6" t="s">
        <v>25</v>
      </c>
      <c r="C11" s="6" t="s">
        <v>26</v>
      </c>
      <c r="D11" s="6" t="s">
        <v>27</v>
      </c>
    </row>
    <row r="12" customFormat="false" ht="15" hidden="false" customHeight="false" outlineLevel="0" collapsed="false">
      <c r="A12" s="7" t="s">
        <v>38</v>
      </c>
      <c r="B12" s="15" t="n">
        <f aca="false">B5/1000000*5+C5/1000000*25</f>
        <v>0.05</v>
      </c>
      <c r="C12" s="15" t="n">
        <f aca="false">B5/1000000*3+C5/1000000*15</f>
        <v>0.03</v>
      </c>
      <c r="D12" s="15" t="n">
        <f aca="false">B5/1000000*1+C5/1000000*5</f>
        <v>0.01</v>
      </c>
    </row>
    <row r="13" customFormat="false" ht="15" hidden="false" customHeight="false" outlineLevel="0" collapsed="false">
      <c r="A13" s="7" t="s">
        <v>40</v>
      </c>
      <c r="B13" s="15" t="n">
        <f aca="false">B6/1000000*5+C6/1000000*25</f>
        <v>0.09625</v>
      </c>
      <c r="C13" s="15" t="n">
        <f aca="false">B6/1000000*3+C6/1000000*15</f>
        <v>0.05775</v>
      </c>
      <c r="D13" s="15" t="n">
        <f aca="false">B6/1000000*1+C6/1000000*5</f>
        <v>0.01925</v>
      </c>
    </row>
    <row r="14" customFormat="false" ht="15" hidden="false" customHeight="false" outlineLevel="0" collapsed="false">
      <c r="A14" s="7" t="s">
        <v>42</v>
      </c>
      <c r="B14" s="15" t="n">
        <f aca="false">B7/1000000*5+C7/1000000*25</f>
        <v>0.1625</v>
      </c>
      <c r="C14" s="15" t="n">
        <f aca="false">B7/1000000*3+C7/1000000*15</f>
        <v>0.0975</v>
      </c>
      <c r="D14" s="15" t="n">
        <f aca="false">B7/1000000*1+C7/1000000*5</f>
        <v>0.0325</v>
      </c>
    </row>
    <row r="17" customFormat="false" ht="15" hidden="false" customHeight="false" outlineLevel="0" collapsed="false">
      <c r="A17" s="5" t="s">
        <v>45</v>
      </c>
    </row>
    <row r="18" customFormat="false" ht="21.75" hidden="false" customHeight="true" outlineLevel="0" collapsed="false">
      <c r="A18" s="6" t="s">
        <v>34</v>
      </c>
      <c r="B18" s="6" t="s">
        <v>25</v>
      </c>
      <c r="C18" s="6" t="s">
        <v>26</v>
      </c>
      <c r="D18" s="6" t="s">
        <v>27</v>
      </c>
    </row>
    <row r="19" customFormat="false" ht="15" hidden="false" customHeight="false" outlineLevel="0" collapsed="false">
      <c r="A19" s="7" t="s">
        <v>38</v>
      </c>
      <c r="B19" s="8" t="n">
        <f aca="false">100*(B5/1000000*5+C5/1000000*25)</f>
        <v>5</v>
      </c>
      <c r="C19" s="8" t="n">
        <f aca="false">100*(B5/1000000*3+C5/1000000*15)</f>
        <v>3</v>
      </c>
      <c r="D19" s="8" t="n">
        <f aca="false">100*(B5/1000000*1+C5/1000000*5)</f>
        <v>1</v>
      </c>
    </row>
    <row r="20" customFormat="false" ht="15" hidden="false" customHeight="false" outlineLevel="0" collapsed="false">
      <c r="A20" s="7" t="s">
        <v>40</v>
      </c>
      <c r="B20" s="8" t="n">
        <f aca="false">100*(B6/1000000*5+C6/1000000*25)</f>
        <v>9.625</v>
      </c>
      <c r="C20" s="8" t="n">
        <f aca="false">100*(B6/1000000*3+C6/1000000*15)</f>
        <v>5.775</v>
      </c>
      <c r="D20" s="8" t="n">
        <f aca="false">100*(B6/1000000*1+C6/1000000*5)</f>
        <v>1.925</v>
      </c>
    </row>
    <row r="21" customFormat="false" ht="15" hidden="false" customHeight="false" outlineLevel="0" collapsed="false">
      <c r="A21" s="7" t="s">
        <v>42</v>
      </c>
      <c r="B21" s="8" t="n">
        <f aca="false">100*(B7/1000000*5+C7/1000000*25)</f>
        <v>16.25</v>
      </c>
      <c r="C21" s="8" t="n">
        <f aca="false">100*(B7/1000000*3+C7/1000000*15)</f>
        <v>9.75</v>
      </c>
      <c r="D21" s="8" t="n">
        <f aca="false">100*(B7/1000000*1+C7/1000000*5)</f>
        <v>3.25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6" t="s">
        <v>46</v>
      </c>
    </row>
    <row r="2" customFormat="false" ht="15" hidden="false" customHeight="false" outlineLevel="0" collapsed="false">
      <c r="A2" s="17"/>
    </row>
    <row r="3" customFormat="false" ht="15" hidden="false" customHeight="false" outlineLevel="0" collapsed="false">
      <c r="A3" s="18" t="s">
        <v>47</v>
      </c>
    </row>
    <row r="4" customFormat="false" ht="15" hidden="false" customHeight="false" outlineLevel="0" collapsed="false">
      <c r="A4" s="17" t="s">
        <v>48</v>
      </c>
    </row>
    <row r="5" customFormat="false" ht="15" hidden="false" customHeight="false" outlineLevel="0" collapsed="false">
      <c r="A5" s="17" t="s">
        <v>49</v>
      </c>
    </row>
    <row r="6" customFormat="false" ht="15" hidden="false" customHeight="false" outlineLevel="0" collapsed="false">
      <c r="A6" s="17" t="s">
        <v>50</v>
      </c>
    </row>
    <row r="7" customFormat="false" ht="15" hidden="false" customHeight="false" outlineLevel="0" collapsed="false">
      <c r="A7" s="17" t="s">
        <v>51</v>
      </c>
    </row>
    <row r="8" customFormat="false" ht="15" hidden="false" customHeight="false" outlineLevel="0" collapsed="false">
      <c r="A8" s="17" t="s">
        <v>52</v>
      </c>
    </row>
    <row r="9" customFormat="false" ht="15" hidden="false" customHeight="false" outlineLevel="0" collapsed="false">
      <c r="A9" s="17" t="s">
        <v>53</v>
      </c>
    </row>
    <row r="10" customFormat="false" ht="15" hidden="false" customHeight="false" outlineLevel="0" collapsed="false">
      <c r="A10" s="17"/>
    </row>
    <row r="11" customFormat="false" ht="15" hidden="false" customHeight="false" outlineLevel="0" collapsed="false">
      <c r="A11" s="18" t="s">
        <v>54</v>
      </c>
    </row>
    <row r="12" customFormat="false" ht="15" hidden="false" customHeight="false" outlineLevel="0" collapsed="false">
      <c r="A12" s="17" t="s">
        <v>55</v>
      </c>
    </row>
    <row r="13" customFormat="false" ht="15" hidden="false" customHeight="false" outlineLevel="0" collapsed="false">
      <c r="A13" s="17" t="s">
        <v>56</v>
      </c>
    </row>
    <row r="14" customFormat="false" ht="15" hidden="false" customHeight="false" outlineLevel="0" collapsed="false">
      <c r="A14" s="17" t="s">
        <v>57</v>
      </c>
    </row>
    <row r="15" customFormat="false" ht="15" hidden="false" customHeight="false" outlineLevel="0" collapsed="false">
      <c r="A15" s="17" t="s">
        <v>58</v>
      </c>
    </row>
    <row r="16" customFormat="false" ht="15" hidden="false" customHeight="false" outlineLevel="0" collapsed="false">
      <c r="A16" s="17" t="s">
        <v>59</v>
      </c>
    </row>
    <row r="17" customFormat="false" ht="15" hidden="false" customHeight="false" outlineLevel="0" collapsed="false">
      <c r="A17" s="17" t="s">
        <v>60</v>
      </c>
    </row>
    <row r="18" customFormat="false" ht="15" hidden="false" customHeight="false" outlineLevel="0" collapsed="false">
      <c r="A18" s="17" t="s">
        <v>61</v>
      </c>
    </row>
    <row r="19" customFormat="false" ht="15" hidden="false" customHeight="false" outlineLevel="0" collapsed="false">
      <c r="A19" s="17"/>
    </row>
    <row r="20" customFormat="false" ht="15" hidden="false" customHeight="false" outlineLevel="0" collapsed="false">
      <c r="A20" s="18" t="s">
        <v>62</v>
      </c>
    </row>
    <row r="21" customFormat="false" ht="15" hidden="false" customHeight="false" outlineLevel="0" collapsed="false">
      <c r="A21" s="17" t="s">
        <v>63</v>
      </c>
    </row>
    <row r="22" customFormat="false" ht="15" hidden="false" customHeight="false" outlineLevel="0" collapsed="false">
      <c r="A22" s="17" t="s">
        <v>64</v>
      </c>
    </row>
    <row r="23" customFormat="false" ht="15" hidden="false" customHeight="false" outlineLevel="0" collapsed="false">
      <c r="A23" s="17" t="s">
        <v>65</v>
      </c>
    </row>
    <row r="24" customFormat="false" ht="15" hidden="false" customHeight="false" outlineLevel="0" collapsed="false">
      <c r="A24" s="17" t="s">
        <v>66</v>
      </c>
    </row>
    <row r="25" customFormat="false" ht="15" hidden="false" customHeight="false" outlineLevel="0" collapsed="false">
      <c r="A25" s="17" t="s">
        <v>67</v>
      </c>
    </row>
    <row r="26" customFormat="false" ht="15" hidden="false" customHeight="false" outlineLevel="0" collapsed="false">
      <c r="A26" s="17"/>
    </row>
    <row r="27" customFormat="false" ht="15" hidden="false" customHeight="false" outlineLevel="0" collapsed="false">
      <c r="A27" s="18" t="s">
        <v>68</v>
      </c>
    </row>
    <row r="28" customFormat="false" ht="15" hidden="false" customHeight="false" outlineLevel="0" collapsed="false">
      <c r="A28" s="17" t="s">
        <v>69</v>
      </c>
    </row>
    <row r="29" customFormat="false" ht="15" hidden="false" customHeight="false" outlineLevel="0" collapsed="false">
      <c r="A29" s="17" t="s">
        <v>70</v>
      </c>
    </row>
    <row r="30" customFormat="false" ht="15" hidden="false" customHeight="false" outlineLevel="0" collapsed="false">
      <c r="A30" s="17" t="s">
        <v>71</v>
      </c>
    </row>
    <row r="31" customFormat="false" ht="15" hidden="false" customHeight="false" outlineLevel="0" collapsed="false">
      <c r="A31" s="17" t="s">
        <v>72</v>
      </c>
    </row>
    <row r="32" customFormat="false" ht="15" hidden="false" customHeight="false" outlineLevel="0" collapsed="false">
      <c r="A32" s="17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2026-05-15T13:34:23Z</dcterms:created>
  <dc:creator>openpyxl</dc:creator>
  <dc:description/>
  <dc:language>en-US</dc:language>
  <cp:lastModifiedBy/>
  <dcterms:modified xsi:type="dcterms:W3CDTF">2026-05-15T13:34:23Z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